
<file path=[Content_Types].xml><?xml version="1.0" encoding="utf-8"?>
<Types xmlns="http://schemas.openxmlformats.org/package/2006/content-types">
  <Default ContentType="application/vnd.ms-office.vbaProject" Extension="bin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 codeName="ThisWorkbook"/>
  <sheets>
    <sheet state="visible" name="DATA" sheetId="1" r:id="rId5"/>
    <sheet state="visible" name="PIVOT" sheetId="2" r:id="rId6"/>
  </sheets>
  <definedNames>
    <definedName hidden="1" localSheetId="0" name="Z_DD99E389_AEFF_449D_AD21_404C0A8F1431_.wvu.FilterData">DATA!$A$1:$AE$95</definedName>
  </definedNames>
  <calcPr/>
  <customWorkbookViews>
    <customWorkbookView activeSheetId="0" maximized="1" windowHeight="0" windowWidth="0" guid="{DD99E389-AEFF-449D-AD21-404C0A8F1431}" name="tblData filter view"/>
  </customWorkbookViews>
  <pivotCaches>
    <pivotCache cacheId="0" r:id="rId7"/>
  </pivotCaches>
  <extLst>
    <ext uri="GoogleSheetsCustomDataVersion2">
      <go:sheetsCustomData xmlns:go="http://customooxmlschemas.google.com/" r:id="rId8" roundtripDataChecksum="wD2ZeP9vmKvi0oxJCOrIZFp7zfyL3f0kJO/nlIkofa4="/>
    </ext>
  </extLst>
</workbook>
</file>

<file path=xl/sharedStrings.xml><?xml version="1.0" encoding="utf-8"?>
<sst xmlns="http://schemas.openxmlformats.org/spreadsheetml/2006/main" count="2424" uniqueCount="214">
  <si>
    <t>PT 1 - Total Schedule per Bulan</t>
  </si>
  <si>
    <t>No</t>
  </si>
  <si>
    <t>Nama Bank / Kegiatan Pengawasan</t>
  </si>
  <si>
    <t>Nama PUJK</t>
  </si>
  <si>
    <t>Kota/Kab</t>
  </si>
  <si>
    <t>Sektor</t>
  </si>
  <si>
    <t>Bulan</t>
  </si>
  <si>
    <t>Jenis LJK</t>
  </si>
  <si>
    <t>Jumlah Kegiatan</t>
  </si>
  <si>
    <t>Jenis Kegiatan</t>
  </si>
  <si>
    <t>April</t>
  </si>
  <si>
    <t>Kuartal (Q)</t>
  </si>
  <si>
    <t>November</t>
  </si>
  <si>
    <t>September</t>
  </si>
  <si>
    <t>Grand Total</t>
  </si>
  <si>
    <t>Tanggal Mulai</t>
  </si>
  <si>
    <t>Tanggal Selesai</t>
  </si>
  <si>
    <t>Supervisor</t>
  </si>
  <si>
    <t>Status Kegiatan</t>
  </si>
  <si>
    <t>Kategori_PUJK</t>
  </si>
  <si>
    <t>PT 2 - Frekuensi Kegiatan per PUJK</t>
  </si>
  <si>
    <t>Kategori_Kota</t>
  </si>
  <si>
    <t>Kategori_Sektor</t>
  </si>
  <si>
    <t>Kategori_LJK</t>
  </si>
  <si>
    <t>Kategori_JenisKegiatan</t>
  </si>
  <si>
    <t>Kategori_Supervisor</t>
  </si>
  <si>
    <t>Kategori_PUJK2</t>
  </si>
  <si>
    <t>Kategori_Kota2</t>
  </si>
  <si>
    <t>Kategori_Sektor2</t>
  </si>
  <si>
    <t>Kategori_LJK2</t>
  </si>
  <si>
    <t>Kategori_JenisKegiatan2</t>
  </si>
  <si>
    <t>Kategori_Supervisor2</t>
  </si>
  <si>
    <t>Kategori_PUJK3</t>
  </si>
  <si>
    <t>Kategori_Kota3</t>
  </si>
  <si>
    <t>Kategori_Sektor3</t>
  </si>
  <si>
    <t>Kategori_LJK3</t>
  </si>
  <si>
    <t>Kategori_JenisKegiatan3</t>
  </si>
  <si>
    <t>Kategori_Supervisor3</t>
  </si>
  <si>
    <t>Jumlah PUJK</t>
  </si>
  <si>
    <t>Prudential Meeting RBB PT BPR Multidhana Bersama</t>
  </si>
  <si>
    <t>PT BPR Multidhana Bersama</t>
  </si>
  <si>
    <t>Lainnya</t>
  </si>
  <si>
    <t>PT BNI sekuritas</t>
  </si>
  <si>
    <t>PT BPD Kalimantan Selatan</t>
  </si>
  <si>
    <t>PT BPR Gawisabumi Mandarsari</t>
  </si>
  <si>
    <t>PT Gadai Sangat Jaya</t>
  </si>
  <si>
    <t>Kab. Banjar</t>
  </si>
  <si>
    <t>Perbankan</t>
  </si>
  <si>
    <t>PPE Ebus</t>
  </si>
  <si>
    <t>Prudential Meeting</t>
  </si>
  <si>
    <t>Q1</t>
  </si>
  <si>
    <t>Kirbani</t>
  </si>
  <si>
    <t>Selesai</t>
  </si>
  <si>
    <t>PT 3 - Frekuensi Kegiatan per Kota Kab</t>
  </si>
  <si>
    <t>Jumlah Kota/Kab</t>
  </si>
  <si>
    <t>Kab. Kotabaru</t>
  </si>
  <si>
    <t>Kab. Tanah Laut</t>
  </si>
  <si>
    <t>Kab. Tapin</t>
  </si>
  <si>
    <t>Prudential Meeting RBB PT BPR Candi Agung Amuntai</t>
  </si>
  <si>
    <t>Kota Banjarbaru</t>
  </si>
  <si>
    <t>Kota Banjarmasin</t>
  </si>
  <si>
    <t>PT BPR Candi Agung Amuntai</t>
  </si>
  <si>
    <t>Kab. Hulu Sungai Utara</t>
  </si>
  <si>
    <t>BPR</t>
  </si>
  <si>
    <t>Satrio Aji Nugroho</t>
  </si>
  <si>
    <t>PT 4 - Frekuensi Kegiatan per Sektor</t>
  </si>
  <si>
    <t>PT Bank Perekonomian Rakyat Danapermata Lestari</t>
  </si>
  <si>
    <t>PT BPR Danapermata Lestari</t>
  </si>
  <si>
    <t>Pemeriksaan Umum</t>
  </si>
  <si>
    <t>Jumlah Sektor</t>
  </si>
  <si>
    <t>PPDP</t>
  </si>
  <si>
    <t>PVML</t>
  </si>
  <si>
    <t>Prudential Meeting RBB Jamkrida Kalsel</t>
  </si>
  <si>
    <t>PT Jamkrida Kalsel</t>
  </si>
  <si>
    <t>PT 5 - Frekuensi Kegiatan per LJK</t>
  </si>
  <si>
    <t>Jamkrida</t>
  </si>
  <si>
    <t>Jumlah LJK</t>
  </si>
  <si>
    <t>APERD</t>
  </si>
  <si>
    <t>Bank Umum</t>
  </si>
  <si>
    <t>Dana Pensiun</t>
  </si>
  <si>
    <t>Perusahaan Efek</t>
  </si>
  <si>
    <t>Prudential Meeting RBB PT BPD Kalimantan Selatan (Post Audit Monitoring)</t>
  </si>
  <si>
    <t>PT 6 - Distribusi Jenis Kegiatan</t>
  </si>
  <si>
    <t>16 Januari 2026 -  Isra' Miraj</t>
  </si>
  <si>
    <t>Penyusunan LHP</t>
  </si>
  <si>
    <t>PT 7 - Rekap Kegiatan per Kuartal</t>
  </si>
  <si>
    <t>Q2</t>
  </si>
  <si>
    <t>Q3</t>
  </si>
  <si>
    <t>Q4</t>
  </si>
  <si>
    <t>PT 8 - Workload Supervisor</t>
  </si>
  <si>
    <t xml:space="preserve">Dana Pensiun BPD Kalsel </t>
  </si>
  <si>
    <t>PT 9 - Status Kegiatan per Bulan</t>
  </si>
  <si>
    <t>Jumlah Status</t>
  </si>
  <si>
    <t>Belum Mulai</t>
  </si>
  <si>
    <t>Sarana Kalsel Ventura</t>
  </si>
  <si>
    <t>PT Sarana Kalsel Ventura</t>
  </si>
  <si>
    <t>Modal Ventura</t>
  </si>
  <si>
    <t>Prudential Meeting RBB PT Bank Perekonomian Rakyat Tanah Laut</t>
  </si>
  <si>
    <t>PT BPR Tanah Laut</t>
  </si>
  <si>
    <t>PT Bank Perekonomian Rakyat Hulu Sungai Selatan Perseroda</t>
  </si>
  <si>
    <t>PT BPR Hulu Sungai Selatan Perseroda</t>
  </si>
  <si>
    <t>Kab. Hulu Sungai Selatan</t>
  </si>
  <si>
    <t>PT Bank Perekonomian Rakyat Martapura Banjar Sejahtera Perseroda</t>
  </si>
  <si>
    <t>PT BPR Martapura Banjar Sejahtera Perseroda</t>
  </si>
  <si>
    <t>PT Bank Perekonomian Rakyat Bank Kotabaru Perseroda</t>
  </si>
  <si>
    <t>PT BPR Bank Kotabaru Perseroda</t>
  </si>
  <si>
    <t>PT Bank Perekonomian Rakyat Azaz Andifa</t>
  </si>
  <si>
    <t>PT BPR Azaz Andifa</t>
  </si>
  <si>
    <t>Kab. Batulicin</t>
  </si>
  <si>
    <t>PT Bank Perekonomian Rakyat Kredit Mandiri Kalsel</t>
  </si>
  <si>
    <t>PT BPR Kredit Mandiri Kalsel</t>
  </si>
  <si>
    <t>PT Bank Perekonomian Rakyat Mitratama Arthabuana</t>
  </si>
  <si>
    <t>PT BPR Mitratama Arthabuana</t>
  </si>
  <si>
    <t>PT BPR Sanggam Cipta Sejahtera Balangan</t>
  </si>
  <si>
    <t>Kab. Balangan</t>
  </si>
  <si>
    <t>PT BPRS Barkah Gemadana</t>
  </si>
  <si>
    <t>BPRS</t>
  </si>
  <si>
    <t>PT BPR Tabalong Bersinar</t>
  </si>
  <si>
    <t>Kab. Tabalong</t>
  </si>
  <si>
    <t>PT Bank Perekonomian Rakyat Tapin Sejahtera Perseroda</t>
  </si>
  <si>
    <t xml:space="preserve">PT BPR Tapin Sejahtera Perseroda </t>
  </si>
  <si>
    <t>Penyusunan KYB/FI BPR</t>
  </si>
  <si>
    <t>KYBFI</t>
  </si>
  <si>
    <t>KYBBPR (Approval)</t>
  </si>
  <si>
    <t>LHP PT BPD Kalimantan Selatan</t>
  </si>
  <si>
    <t>Prudential Meeting RBB PT BPD Kalimantan Selatan (RBB)</t>
  </si>
  <si>
    <t>Evaluasi Kinerja se-Kalimantan</t>
  </si>
  <si>
    <t>Evaluasi Kinerja</t>
  </si>
  <si>
    <t>KYB Bank Kalsel Semester II Tahun 2025</t>
  </si>
  <si>
    <t>Pengerjaan TKS BPR</t>
  </si>
  <si>
    <t>Pengerjaan TKS</t>
  </si>
  <si>
    <t>Pengerjaan TKS RBBR BPR</t>
  </si>
  <si>
    <t>Pengerjaan TKS Bank Kalsel Semester II Tahun 2025</t>
  </si>
  <si>
    <t>16 Februari 2026 - Cuti Bersama</t>
  </si>
  <si>
    <t>17 Februari 2026 - Tahun Baru Imlek</t>
  </si>
  <si>
    <t>Pemeriksaan Umum PT BPRS Barkah Gemadana</t>
  </si>
  <si>
    <t>Pemeriksaan Umum PT BPR Martapura Banjar Sejahtera</t>
  </si>
  <si>
    <t>PT BPR Martapura Banjar Sejahtera</t>
  </si>
  <si>
    <t>LHP BPRS Barkah Gemadana (MIZ) dan BPR MBS (KZ)</t>
  </si>
  <si>
    <t>Pemeriksaan Umum PT BPR Azaz Andifa</t>
  </si>
  <si>
    <t>LHP BPR DPL (FRN)</t>
  </si>
  <si>
    <t>18 Maret 2026 s.d. 24 Maret 2026 - Cuti Bersama dan Libur Lebaran</t>
  </si>
  <si>
    <t>Pemeriksaan Umum PT BPR Tapin Sejahtera</t>
  </si>
  <si>
    <t>PT BPR Tapin Sejahtera Perseroda</t>
  </si>
  <si>
    <t>Pemeriksaan Umum PT BPR Tanah Laut</t>
  </si>
  <si>
    <t>LHP BPR Tapin (DMZ) dan BPR TALA (KZ)</t>
  </si>
  <si>
    <t>APERD Dalam Kota</t>
  </si>
  <si>
    <t>LHP APERD (FRN)</t>
  </si>
  <si>
    <t>Pemeriksaan Umum Dana Pensiun BPD Kalsel</t>
  </si>
  <si>
    <t>Dana Pensiun PT BPD Kalimantan Selatan</t>
  </si>
  <si>
    <t>Pemeriksaan Umum PT BPR GSM</t>
  </si>
  <si>
    <t>LHP BPR DAPEN (KRB-PRB)</t>
  </si>
  <si>
    <t>BPR DAPEN</t>
  </si>
  <si>
    <t>LHP BPR GSM (DMZ)</t>
  </si>
  <si>
    <t>Pemeriksaan Umum PT BPR Mitratama Artha Buana</t>
  </si>
  <si>
    <t>PT BPR Mitratama Artha Buana</t>
  </si>
  <si>
    <t>Prudential Meeting RBB PT BPD Kalimantan Selatan (Realisasi RBB TW I/26 &amp; Post Audit Monitoring)</t>
  </si>
  <si>
    <t>14 Mei 2026 s.d. 15 Mei 2026 - Cuti Bersama dan Libur Kenaikan Yesus Kristus</t>
  </si>
  <si>
    <t>LHP BPR MITRA (PRB)</t>
  </si>
  <si>
    <t>Pemeriksaan Umum PT BPR Tabalong Bersinar</t>
  </si>
  <si>
    <t xml:space="preserve"> PT BPR Tabalong Bersinar</t>
  </si>
  <si>
    <t>Pemeriksaan Umum PT BPR Sanggam Cipta Sejahtera</t>
  </si>
  <si>
    <t>PT BPR Sanggam Cipta Sejahtera</t>
  </si>
  <si>
    <t>27 Mei 2026 s.d. 28 Mei 2026 - Cuti Bersama dan Libur Idul Adha</t>
  </si>
  <si>
    <t>LHP BPR Tabalong Bersinar (DMZ) dan BPR SCS (KZ)</t>
  </si>
  <si>
    <t>Pemeriksaan Umum Gadai Mega Sentosa</t>
  </si>
  <si>
    <t>PT Gadai Mega Sentosa</t>
  </si>
  <si>
    <t>Pegadaian</t>
  </si>
  <si>
    <t>LHP Gadai Mega Sentosa (PRB)</t>
  </si>
  <si>
    <t>Pemeriksaan Umum PT BPR Hulu Sungai Selatan</t>
  </si>
  <si>
    <t>PT BPR Hulu Sungai Selatan</t>
  </si>
  <si>
    <t>Pemeriksaan Umum PT BPR Dana Permata Lestari</t>
  </si>
  <si>
    <t>PT BPR Dana Permata Lestari</t>
  </si>
  <si>
    <t>LHP HSS (MIZ) dan AZAZ (FRN)</t>
  </si>
  <si>
    <t>Pemeriksaan Umum PT BPR Kotabaru</t>
  </si>
  <si>
    <t>PT BPR Kotabaru</t>
  </si>
  <si>
    <t>Pemeriksaan Umum PT BPR Kredit Mandiri Kalsel</t>
  </si>
  <si>
    <t>Penyusunan KYFI dan TKS Dana Pensiun BPD Kalsel</t>
  </si>
  <si>
    <t>LHP KTB (KZ) dan KMKS (DMZ)</t>
  </si>
  <si>
    <t>Pemeriksaan Umum Sarana Kalsel ventura</t>
  </si>
  <si>
    <t>LHP SKV (PRB)</t>
  </si>
  <si>
    <t>Pemeriksaan Umum PT BPR Candi Agung Amuntai</t>
  </si>
  <si>
    <t>Pemeriksaan Umum PT BPR Multidhana Bersama</t>
  </si>
  <si>
    <t>LHP MULTI (KZ) dan CAA (DMZ)</t>
  </si>
  <si>
    <t>PT BPR Multidhana Bersama &amp; PT BPR Candi Agung Amuntai</t>
  </si>
  <si>
    <t>On Progress</t>
  </si>
  <si>
    <t>Pemeriksaan PPE EBUS BPD Kalsel</t>
  </si>
  <si>
    <t>KYB Bank Kalsel Semester I</t>
  </si>
  <si>
    <t>LHP PPE (FRN)</t>
  </si>
  <si>
    <t>Pemeriksaan Umum Jamkrida Kalsel</t>
  </si>
  <si>
    <t>Manajer Investasi</t>
  </si>
  <si>
    <t>RBBR Bank Kalsel Semester I</t>
  </si>
  <si>
    <t>Penyusunan RBBR</t>
  </si>
  <si>
    <t>LHP JAMKRIDA (PRB)</t>
  </si>
  <si>
    <t>Pengerjaan RBBR BPR dan BPD</t>
  </si>
  <si>
    <t>Entry Meeting Pemeriksaan Umum PT BPD Kalimantan Selatan + Kantor Pusat</t>
  </si>
  <si>
    <t>Pemeriksaan Kantor Cabang Luar Kota - KC A</t>
  </si>
  <si>
    <t>Pemeriksaan Kantor Cabang Luar Kota - KC B</t>
  </si>
  <si>
    <t>17 Agustus 2026 - Hari Kemerdekaan</t>
  </si>
  <si>
    <t>Recycling IJK</t>
  </si>
  <si>
    <t>25 Agustus 2026 - Maulid Nabi</t>
  </si>
  <si>
    <t>Prudential Meeting 10 BPR</t>
  </si>
  <si>
    <t>Pemeriksaan Kantor Cabang Luar Kota - KC C</t>
  </si>
  <si>
    <t>Pemeriksaan Kantor Cabang Luar Kota - KC D</t>
  </si>
  <si>
    <t>Prudential Meeting RBB PT BPD Kalimantan Selatan (Realisasi RBB TWI I/26 &amp; Post Audit Monitoring)</t>
  </si>
  <si>
    <t>Pemeriksaan Kantor Cabang Luar Kota - KC E</t>
  </si>
  <si>
    <t>Pemeriksaan Kantor Cabang Luar Kota - KC F</t>
  </si>
  <si>
    <t>Pemeriksaan Kantor Cabang Luar Kota - KC G</t>
  </si>
  <si>
    <t>Pemeriksaan Kantor Cabang Luar Kota - KC H</t>
  </si>
  <si>
    <t>Pemeriksaan Kantor Pusat</t>
  </si>
  <si>
    <t>Pemeriksaan MI Dalam Kota</t>
  </si>
  <si>
    <t>Pemeriksaan Gadai Sangat Jaya</t>
  </si>
  <si>
    <t>Pemeriksaan Perusahaan Efek</t>
  </si>
  <si>
    <t>Prudential Meeting RBB PT BPD Kalimantan Selatan (Realisasi RBB TWII I/26 &amp; Post Audit Monitoring)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</si>
</sst>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21]dd\ mmmm\ yyyy"/>
  </numFmts>
  <fonts count="11">
    <font>
      <sz val="11.0"/>
      <color theme="1"/>
      <name val="Calibri"/>
      <scheme val="minor"/>
    </font>
    <font>
      <b/>
      <sz val="12.0"/>
      <color theme="1"/>
      <name val="Calibri"/>
    </font>
    <font>
      <b/>
      <sz val="12.0"/>
      <color theme="0"/>
      <name val="Bookman Old Style"/>
    </font>
    <font>
      <sz val="11.0"/>
      <color theme="1"/>
      <name val="Calibri"/>
    </font>
    <font>
      <color theme="1"/>
      <name val="Calibri"/>
      <scheme val="minor"/>
    </font>
    <font>
      <sz val="11.0"/>
      <color theme="1"/>
      <name val="Bookman Old Style"/>
    </font>
    <font>
      <b/>
      <sz val="11.0"/>
      <color rgb="FFC00000"/>
      <name val="Bookman Old Style"/>
    </font>
    <font>
      <b/>
      <sz val="11.0"/>
      <color theme="1"/>
      <name val="Bookman Old Style"/>
    </font>
    <font>
      <b/>
      <sz val="11.0"/>
      <color rgb="FFFF0000"/>
      <name val="Bookman Old Style"/>
    </font>
    <font>
      <sz val="11.0"/>
      <color rgb="FFFF0000"/>
      <name val="Bookman Old Style"/>
    </font>
    <font>
      <sz val="11.0"/>
      <color rgb="FFC00000"/>
      <name val="Bookman Old Style"/>
    </font>
  </fonts>
  <fills count="10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D9E2F3"/>
        <bgColor rgb="FFD9E2F3"/>
      </patternFill>
    </fill>
    <fill>
      <patternFill patternType="solid">
        <fgColor rgb="FFC8C8C8"/>
        <bgColor rgb="FFC8C8C8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</fills>
  <borders count="13">
    <border/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left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0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left"/>
    </xf>
    <xf borderId="3" fillId="2" fontId="2" numFmtId="0" xfId="0" applyAlignment="1" applyBorder="1" applyFont="1">
      <alignment horizontal="center" readingOrder="0" shrinkToFit="0" vertical="center" wrapText="0"/>
    </xf>
    <xf borderId="3" fillId="2" fontId="2" numFmtId="0" xfId="0" applyAlignment="1" applyBorder="1" applyFont="1">
      <alignment horizontal="center" readingOrder="0" shrinkToFit="0" vertical="center" wrapText="1"/>
    </xf>
    <xf borderId="4" fillId="2" fontId="2" numFmtId="0" xfId="0" applyAlignment="1" applyBorder="1" applyFont="1">
      <alignment horizontal="center" readingOrder="0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2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3" fontId="5" numFmtId="164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9" fillId="0" fontId="5" numFmtId="164" xfId="0" applyAlignment="1" applyBorder="1" applyFont="1" applyNumberFormat="1">
      <alignment horizontal="center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quotePrefix="1" borderId="9" fillId="5" fontId="6" numFmtId="0" xfId="0" applyAlignment="1" applyBorder="1" applyFill="1" applyFont="1">
      <alignment horizontal="left" shrinkToFit="0" vertical="center" wrapText="0"/>
    </xf>
    <xf borderId="9" fillId="5" fontId="6" numFmtId="0" xfId="0" applyAlignment="1" applyBorder="1" applyFont="1">
      <alignment horizontal="left" shrinkToFit="0" vertical="center" wrapText="0"/>
    </xf>
    <xf borderId="9" fillId="5" fontId="5" numFmtId="0" xfId="0" applyAlignment="1" applyBorder="1" applyFont="1">
      <alignment horizontal="center" shrinkToFit="0" vertical="center" wrapText="0"/>
    </xf>
    <xf borderId="9" fillId="5" fontId="5" numFmtId="164" xfId="0" applyAlignment="1" applyBorder="1" applyFont="1" applyNumberFormat="1">
      <alignment horizontal="center" shrinkToFit="0" vertical="center" wrapText="0"/>
    </xf>
    <xf borderId="9" fillId="5" fontId="5" numFmtId="0" xfId="0" applyAlignment="1" applyBorder="1" applyFont="1">
      <alignment horizontal="center" shrinkToFit="0" vertical="center" wrapText="1"/>
    </xf>
    <xf quotePrefix="1" borderId="9" fillId="0" fontId="5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left" shrinkToFit="0" vertical="center" wrapText="1"/>
    </xf>
    <xf quotePrefix="1" borderId="9" fillId="4" fontId="6" numFmtId="0" xfId="0" applyAlignment="1" applyBorder="1" applyFont="1">
      <alignment horizontal="left" shrinkToFit="0" vertical="center" wrapText="0"/>
    </xf>
    <xf borderId="9" fillId="4" fontId="6" numFmtId="0" xfId="0" applyAlignment="1" applyBorder="1" applyFont="1">
      <alignment horizontal="left" shrinkToFit="0" vertical="center" wrapText="0"/>
    </xf>
    <xf borderId="9" fillId="4" fontId="5" numFmtId="0" xfId="0" applyAlignment="1" applyBorder="1" applyFont="1">
      <alignment horizontal="center" shrinkToFit="0" vertical="center" wrapText="0"/>
    </xf>
    <xf borderId="9" fillId="4" fontId="5" numFmtId="164" xfId="0" applyAlignment="1" applyBorder="1" applyFont="1" applyNumberFormat="1">
      <alignment horizontal="center" shrinkToFit="0" vertical="center" wrapText="0"/>
    </xf>
    <xf borderId="9" fillId="4" fontId="5" numFmtId="0" xfId="0" applyAlignment="1" applyBorder="1" applyFont="1">
      <alignment horizontal="center" shrinkToFit="0" vertical="center" wrapText="1"/>
    </xf>
    <xf borderId="7" fillId="4" fontId="5" numFmtId="0" xfId="0" applyAlignment="1" applyBorder="1" applyFont="1">
      <alignment horizontal="center" shrinkToFit="0" vertical="center" wrapText="1"/>
    </xf>
    <xf borderId="9" fillId="0" fontId="7" numFmtId="164" xfId="0" applyAlignment="1" applyBorder="1" applyFont="1" applyNumberForma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shrinkToFit="0" vertical="center" wrapText="1"/>
    </xf>
    <xf borderId="9" fillId="6" fontId="5" numFmtId="164" xfId="0" applyAlignment="1" applyBorder="1" applyFill="1" applyFont="1" applyNumberFormat="1">
      <alignment horizontal="center" shrinkToFit="0" vertical="center" wrapText="1"/>
    </xf>
    <xf borderId="9" fillId="0" fontId="8" numFmtId="0" xfId="0" applyAlignment="1" applyBorder="1" applyFont="1">
      <alignment horizontal="left"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9" fillId="7" fontId="5" numFmtId="0" xfId="0" applyAlignment="1" applyBorder="1" applyFill="1" applyFont="1">
      <alignment horizontal="center" shrinkToFit="0" vertical="center" wrapText="1"/>
    </xf>
    <xf borderId="9" fillId="7" fontId="5" numFmtId="164" xfId="0" applyAlignment="1" applyBorder="1" applyFont="1" applyNumberFormat="1">
      <alignment horizontal="center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left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9" fillId="4" fontId="10" numFmtId="164" xfId="0" applyAlignment="1" applyBorder="1" applyFont="1" applyNumberFormat="1">
      <alignment horizontal="center" shrinkToFit="0" vertical="center" wrapText="1"/>
    </xf>
    <xf borderId="9" fillId="6" fontId="7" numFmtId="164" xfId="0" applyAlignment="1" applyBorder="1" applyFont="1" applyNumberFormat="1">
      <alignment horizontal="center" shrinkToFit="0" vertical="center" wrapText="1"/>
    </xf>
    <xf borderId="9" fillId="8" fontId="5" numFmtId="164" xfId="0" applyAlignment="1" applyBorder="1" applyFill="1" applyFont="1" applyNumberFormat="1">
      <alignment horizontal="center" shrinkToFit="0" vertical="center" wrapText="1"/>
    </xf>
    <xf borderId="9" fillId="4" fontId="5" numFmtId="164" xfId="0" applyAlignment="1" applyBorder="1" applyFont="1" applyNumberFormat="1">
      <alignment horizontal="center" shrinkToFit="0" vertical="center" wrapText="1"/>
    </xf>
    <xf borderId="9" fillId="3" fontId="7" numFmtId="164" xfId="0" applyAlignment="1" applyBorder="1" applyFont="1" applyNumberFormat="1">
      <alignment horizontal="center" shrinkToFit="0" vertical="center" wrapText="1"/>
    </xf>
    <xf quotePrefix="1" borderId="9" fillId="0" fontId="7" numFmtId="0" xfId="0" applyAlignment="1" applyBorder="1" applyFont="1">
      <alignment horizontal="left" shrinkToFit="0" vertical="center" wrapText="1"/>
    </xf>
    <xf borderId="9" fillId="4" fontId="10" numFmtId="0" xfId="0" applyAlignment="1" applyBorder="1" applyFont="1">
      <alignment horizontal="left" shrinkToFit="0" vertical="center" wrapText="0"/>
    </xf>
    <xf borderId="6" fillId="9" fontId="5" numFmtId="0" xfId="0" applyAlignment="1" applyBorder="1" applyFill="1" applyFont="1">
      <alignment horizontal="center" shrinkToFit="0" vertical="center" wrapText="1"/>
    </xf>
    <xf borderId="9" fillId="9" fontId="7" numFmtId="0" xfId="0" applyAlignment="1" applyBorder="1" applyFont="1">
      <alignment horizontal="left" shrinkToFit="0" vertical="center" wrapText="1"/>
    </xf>
    <xf borderId="9" fillId="9" fontId="5" numFmtId="0" xfId="0" applyAlignment="1" applyBorder="1" applyFont="1">
      <alignment horizontal="left" shrinkToFit="0" vertical="center" wrapText="1"/>
    </xf>
    <xf quotePrefix="1" borderId="9" fillId="9" fontId="5" numFmtId="0" xfId="0" applyAlignment="1" applyBorder="1" applyFont="1">
      <alignment horizontal="left" shrinkToFit="0" vertical="center" wrapText="1"/>
    </xf>
    <xf borderId="9" fillId="9" fontId="5" numFmtId="0" xfId="0" applyAlignment="1" applyBorder="1" applyFont="1">
      <alignment horizontal="center" shrinkToFit="0" vertical="center" wrapText="1"/>
    </xf>
    <xf borderId="9" fillId="9" fontId="5" numFmtId="164" xfId="0" applyAlignment="1" applyBorder="1" applyFont="1" applyNumberFormat="1">
      <alignment horizontal="center" shrinkToFit="0" vertical="center" wrapText="1"/>
    </xf>
    <xf borderId="7" fillId="9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2" fillId="6" fontId="5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shrinkToFit="0" wrapText="1"/>
    </xf>
    <xf borderId="9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  <color theme="0"/>
      </font>
      <fill>
        <patternFill patternType="solid">
          <fgColor rgb="FFC00000"/>
          <bgColor rgb="FFC00000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FF6600"/>
      </font>
      <fill>
        <patternFill patternType="solid">
          <fgColor rgb="FFFFC000"/>
          <bgColor rgb="FFFFC000"/>
        </patternFill>
      </fill>
      <border/>
    </dxf>
    <dxf>
      <font>
        <color rgb="FF3A3838"/>
      </font>
      <fill>
        <patternFill patternType="solid">
          <fgColor rgb="FFD0CECE"/>
          <bgColor rgb="FFD0CECE"/>
        </patternFill>
      </fill>
      <border/>
    </dxf>
  </dxfs>
  <tableStyles count="1">
    <tableStyle count="4" pivot="0" name="DATA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06/relationships/vbaProject" Target="vbaProject.bin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104775</xdr:colOff>
      <xdr:row>1</xdr:row>
      <xdr:rowOff>114300</xdr:rowOff>
    </xdr:from>
    <xdr:ext cx="1733550" cy="628650"/>
    <xdr:sp>
      <xdr:nvSpPr>
        <xdr:cNvPr id="3" name="Shape 3"/>
        <xdr:cNvSpPr/>
      </xdr:nvSpPr>
      <xdr:spPr>
        <a:xfrm>
          <a:off x="4483988" y="3470438"/>
          <a:ext cx="1724025" cy="619125"/>
        </a:xfrm>
        <a:prstGeom prst="homePlate">
          <a:avLst>
            <a:gd fmla="val 50000" name="adj"/>
          </a:avLst>
        </a:prstGeom>
        <a:solidFill>
          <a:srgbClr val="C00000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>
              <a:solidFill>
                <a:schemeClr val="lt1"/>
              </a:solidFill>
              <a:latin typeface="Bookman Old Style"/>
              <a:ea typeface="Bookman Old Style"/>
              <a:cs typeface="Bookman Old Style"/>
              <a:sym typeface="Bookman Old Style"/>
            </a:rPr>
            <a:t>PIVOT</a:t>
          </a:r>
          <a:endParaRPr b="1" sz="2400">
            <a:latin typeface="Bookman Old Style"/>
            <a:ea typeface="Bookman Old Style"/>
            <a:cs typeface="Bookman Old Style"/>
            <a:sym typeface="Bookman Old Style"/>
          </a:endParaRPr>
        </a:p>
      </xdr:txBody>
    </xdr:sp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E95" sheet="DATA"/>
  </cacheSource>
  <cacheFields>
    <cacheField name="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</sharedItems>
    </cacheField>
    <cacheField name="Nama Bank / Kegiatan Pengawasan" numFmtId="0">
      <sharedItems>
        <s v="Prudential Meeting RBB PT BPR Multidhana Bersama"/>
        <s v="Prudential Meeting RBB PT BPR Candi Agung Amuntai"/>
        <s v="PT Bank Perekonomian Rakyat Danapermata Lestari"/>
        <s v="Prudential Meeting RBB Jamkrida Kalsel"/>
        <s v="Prudential Meeting RBB PT BPD Kalimantan Selatan (Post Audit Monitoring)"/>
        <s v="16 Januari 2026 -  Isra' Miraj"/>
        <s v="PT BPR Gawisabumi Mandarsari"/>
        <s v="Dana Pensiun BPD Kalsel "/>
        <s v="Sarana Kalsel Ventura"/>
        <s v="Prudential Meeting RBB PT Bank Perekonomian Rakyat Tanah Laut"/>
        <s v="PT Bank Perekonomian Rakyat Hulu Sungai Selatan Perseroda"/>
        <s v="PT Bank Perekonomian Rakyat Martapura Banjar Sejahtera Perseroda"/>
        <s v="PT Bank Perekonomian Rakyat Bank Kotabaru Perseroda"/>
        <s v="PT Bank Perekonomian Rakyat Azaz Andifa"/>
        <s v="PT Bank Perekonomian Rakyat Kredit Mandiri Kalsel"/>
        <s v="PT Bank Perekonomian Rakyat Mitratama Arthabuana"/>
        <s v="PT BPR Sanggam Cipta Sejahtera Balangan"/>
        <s v="PT BPRS Barkah Gemadana"/>
        <s v="PT BPR Tabalong Bersinar"/>
        <s v="PT Bank Perekonomian Rakyat Tapin Sejahtera Perseroda"/>
        <s v="Penyusunan KYB/FI BPR"/>
        <s v="KYBBPR (Approval)"/>
        <s v="LHP PT BPD Kalimantan Selatan"/>
        <s v="Prudential Meeting RBB PT BPD Kalimantan Selatan (RBB)"/>
        <s v="Evaluasi Kinerja se-Kalimantan"/>
        <s v="KYB Bank Kalsel Semester II Tahun 2025"/>
        <s v="Pengerjaan TKS BPR"/>
        <s v="Pengerjaan TKS RBBR BPR"/>
        <s v="Pengerjaan TKS Bank Kalsel Semester II Tahun 2025"/>
        <s v="16 Februari 2026 - Cuti Bersama"/>
        <s v="17 Februari 2026 - Tahun Baru Imlek"/>
        <s v="Pemeriksaan Umum PT BPRS Barkah Gemadana"/>
        <s v="Pemeriksaan Umum PT BPR Martapura Banjar Sejahtera"/>
        <s v="LHP BPRS Barkah Gemadana (MIZ) dan BPR MBS (KZ)"/>
        <s v="Pemeriksaan Umum PT BPR Azaz Andifa"/>
        <s v="LHP BPR DPL (FRN)"/>
        <s v="18 Maret 2026 s.d. 24 Maret 2026 - Cuti Bersama dan Libur Lebaran"/>
        <s v="Pemeriksaan Umum PT BPR Tapin Sejahtera"/>
        <s v="Pemeriksaan Umum PT BPR Tanah Laut"/>
        <s v="LHP BPR Tapin (DMZ) dan BPR TALA (KZ)"/>
        <s v="APERD Dalam Kota"/>
        <s v="LHP APERD (FRN)"/>
        <s v="Pemeriksaan Umum Dana Pensiun BPD Kalsel"/>
        <s v="Pemeriksaan Umum PT BPR GSM"/>
        <s v="LHP BPR DAPEN (KRB-PRB)"/>
        <s v="LHP BPR GSM (DMZ)"/>
        <s v="Pemeriksaan Umum PT BPR Mitratama Artha Buana"/>
        <s v="Prudential Meeting RBB PT BPD Kalimantan Selatan (Realisasi RBB TW I/26 &amp; Post Audit Monitoring)"/>
        <s v="14 Mei 2026 s.d. 15 Mei 2026 - Cuti Bersama dan Libur Kenaikan Yesus Kristus"/>
        <s v="LHP BPR MITRA (PRB)"/>
        <s v="Pemeriksaan Umum PT BPR Tabalong Bersinar"/>
        <s v="Pemeriksaan Umum PT BPR Sanggam Cipta Sejahtera"/>
        <s v="27 Mei 2026 s.d. 28 Mei 2026 - Cuti Bersama dan Libur Idul Adha"/>
        <s v="LHP BPR Tabalong Bersinar (DMZ) dan BPR SCS (KZ)"/>
        <s v="Pemeriksaan Umum Gadai Mega Sentosa"/>
        <s v="LHP Gadai Mega Sentosa (PRB)"/>
        <s v="Pemeriksaan Umum PT BPR Hulu Sungai Selatan"/>
        <s v="Pemeriksaan Umum PT BPR Dana Permata Lestari"/>
        <s v="LHP HSS (MIZ) dan AZAZ (FRN)"/>
        <s v="Pemeriksaan Umum PT BPR Kotabaru"/>
        <s v="Pemeriksaan Umum PT BPR Kredit Mandiri Kalsel"/>
        <s v="Penyusunan KYFI dan TKS Dana Pensiun BPD Kalsel"/>
        <s v="LHP KTB (KZ) dan KMKS (DMZ)"/>
        <s v="Pemeriksaan Umum Sarana Kalsel ventura"/>
        <s v="LHP SKV (PRB)"/>
        <s v="Pemeriksaan Umum PT BPR Candi Agung Amuntai"/>
        <s v="Pemeriksaan Umum PT BPR Multidhana Bersama"/>
        <s v="LHP MULTI (KZ) dan CAA (DMZ)"/>
        <s v="Pemeriksaan PPE EBUS BPD Kalsel"/>
        <s v="KYB Bank Kalsel Semester I"/>
        <s v="LHP PPE (FRN)"/>
        <s v="Pemeriksaan Umum Jamkrida Kalsel"/>
        <s v="RBBR Bank Kalsel Semester I"/>
        <s v="LHP JAMKRIDA (PRB)"/>
        <s v="Pengerjaan RBBR BPR dan BPD"/>
        <s v="Entry Meeting Pemeriksaan Umum PT BPD Kalimantan Selatan + Kantor Pusat"/>
        <s v="Pemeriksaan Kantor Cabang Luar Kota - KC A"/>
        <s v="Pemeriksaan Kantor Cabang Luar Kota - KC B"/>
        <s v="17 Agustus 2026 - Hari Kemerdekaan"/>
        <s v="Recycling IJK"/>
        <s v="25 Agustus 2026 - Maulid Nabi"/>
        <s v="Prudential Meeting 10 BPR"/>
        <s v="Pemeriksaan Kantor Cabang Luar Kota - KC C"/>
        <s v="Pemeriksaan Kantor Cabang Luar Kota - KC D"/>
        <s v="Prudential Meeting RBB PT BPD Kalimantan Selatan (Realisasi RBB TWI I/26 &amp; Post Audit Monitoring)"/>
        <s v="Pemeriksaan Kantor Cabang Luar Kota - KC E"/>
        <s v="Pemeriksaan Kantor Cabang Luar Kota - KC F"/>
        <s v="Pemeriksaan Kantor Cabang Luar Kota - KC G"/>
        <s v="Pemeriksaan Kantor Cabang Luar Kota - KC H"/>
        <s v="Pemeriksaan Kantor Pusat"/>
        <s v="Pemeriksaan MI Dalam Kota"/>
        <s v="Pemeriksaan Gadai Sangat Jaya"/>
        <s v="Pemeriksaan Perusahaan Efek"/>
        <s v="Prudential Meeting RBB PT BPD Kalimantan Selatan (Realisasi RBB TWII I/26 &amp; Post Audit Monitoring)"/>
      </sharedItems>
    </cacheField>
    <cacheField name="Nama PUJK" numFmtId="0">
      <sharedItems containsBlank="1">
        <s v="PT BPR Multidhana Bersama"/>
        <s v="PT BPR Candi Agung Amuntai"/>
        <s v="PT BPR Danapermata Lestari"/>
        <s v="PT Jamkrida Kalsel"/>
        <s v="PT BPD Kalimantan Selatan"/>
        <m/>
        <s v="PT BPR Gawisabumi Mandarsari"/>
        <s v="PT Sarana Kalsel Ventura"/>
        <s v="PT BPR Tanah Laut"/>
        <s v="PT BPR Hulu Sungai Selatan Perseroda"/>
        <s v="PT BPR Martapura Banjar Sejahtera Perseroda"/>
        <s v="PT BPR Bank Kotabaru Perseroda"/>
        <s v="PT BPR Azaz Andifa"/>
        <s v="PT BPR Kredit Mandiri Kalsel"/>
        <s v="PT BPR Mitratama Arthabuana"/>
        <s v="PT BPR Sanggam Cipta Sejahtera Balangan"/>
        <s v="PT BPRS Barkah Gemadana"/>
        <s v="PT BPR Tabalong Bersinar"/>
        <s v="PT BPR Tapin Sejahtera Perseroda "/>
        <s v="Lainnya"/>
        <s v="PT BPR Martapura Banjar Sejahtera"/>
        <s v="PT BPR Tapin Sejahtera Perseroda"/>
        <s v="Dana Pensiun PT BPD Kalimantan Selatan"/>
        <s v="BPR DAPEN"/>
        <s v="PT BPR Mitratama Artha Buana"/>
        <s v=" PT BPR Tabalong Bersinar"/>
        <s v="PT BPR Sanggam Cipta Sejahtera"/>
        <s v="PT Gadai Mega Sentosa"/>
        <s v="PT BPR Hulu Sungai Selatan"/>
        <s v="PT BPR Dana Permata Lestari"/>
        <s v="PT BPR Kotabaru"/>
        <s v="PT BPR Multidhana Bersama &amp; PT BPR Candi Agung Amuntai"/>
        <s v="PT Gadai Sangat Jaya"/>
        <s v="PT BNI sekuritas"/>
      </sharedItems>
    </cacheField>
    <cacheField name="Kota/Kab" numFmtId="0">
      <sharedItems containsBlank="1">
        <s v="Kab. Banjar"/>
        <s v="Kab. Hulu Sungai Utara"/>
        <s v="Kota Banjarmasin"/>
        <m/>
        <s v="Kota Banjarbaru"/>
        <s v="Kab. Tanah Laut"/>
        <s v="Kab. Hulu Sungai Selatan"/>
        <s v="Kab. Kotabaru"/>
        <s v="Kab. Batulicin"/>
        <s v="Kab. Balangan"/>
        <s v="Kab. Tabalong"/>
        <s v="Kab. Tapin"/>
        <s v="Lainnya"/>
      </sharedItems>
    </cacheField>
    <cacheField name="Sektor" numFmtId="0">
      <sharedItems containsBlank="1">
        <s v="Perbankan"/>
        <s v="PVML"/>
        <m/>
        <s v="PPDP"/>
        <s v="Lainnya"/>
      </sharedItems>
    </cacheField>
    <cacheField name="Jenis LJK" numFmtId="0">
      <sharedItems containsBlank="1">
        <s v="PPE Ebus"/>
        <s v="BPR"/>
        <s v="Jamkrida"/>
        <s v="Bank Umum"/>
        <m/>
        <s v="Dana Pensiun"/>
        <s v="Modal Ventura"/>
        <s v="BPRS"/>
        <s v="APERD"/>
        <s v="Pegadaian"/>
        <s v="Manajer Investasi"/>
        <s v="Lainnya"/>
        <s v="Perusahaan Efek"/>
      </sharedItems>
    </cacheField>
    <cacheField name="Jenis Kegiatan" numFmtId="0">
      <sharedItems containsBlank="1">
        <s v="Prudential Meeting"/>
        <s v="Pemeriksaan Umum"/>
        <m/>
        <s v="KYBFI"/>
        <s v="Penyusunan LHP"/>
        <s v="Evaluasi Kinerja"/>
        <s v="Pengerjaan TKS"/>
        <s v="Penyusunan RBBR"/>
      </sharedItems>
    </cacheField>
    <cacheField name="Kuartal (Q)" numFmtId="0">
      <sharedItems containsBlank="1">
        <s v="Q1"/>
        <m/>
        <s v="Q2"/>
        <s v="Q3"/>
        <s v="Q4"/>
      </sharedItems>
    </cacheField>
    <cacheField name="Bulan" numFmtId="0">
      <sharedItems containsBlank="1">
        <s v="January"/>
        <m/>
        <s v="February"/>
        <s v="March"/>
        <s v="April"/>
        <s v="May"/>
        <s v="June"/>
        <s v="July"/>
        <s v="August"/>
        <s v=""/>
        <s v="September"/>
        <s v="October"/>
        <s v="November"/>
      </sharedItems>
    </cacheField>
    <cacheField name="Tanggal Mulai" numFmtId="164">
      <sharedItems containsDate="1" containsString="0" containsBlank="1">
        <d v="2026-01-13T00:00:00Z"/>
        <d v="2026-01-14T00:00:00Z"/>
        <d v="2026-01-15T00:00:00Z"/>
        <m/>
        <d v="2026-01-19T00:00:00Z"/>
        <d v="2026-01-20T00:00:00Z"/>
        <d v="2026-01-21T00:00:00Z"/>
        <d v="2026-01-22T00:00:00Z"/>
        <d v="2026-01-26T00:00:00Z"/>
        <d v="2026-01-27T00:00:00Z"/>
        <d v="2026-01-28T00:00:00Z"/>
        <d v="2026-01-29T00:00:00Z"/>
        <d v="2026-01-30T00:00:00Z"/>
        <d v="2026-02-03T00:00:00Z"/>
        <d v="2026-02-09T00:00:00Z"/>
        <d v="2026-02-18T00:00:00Z"/>
        <d v="2026-02-23T00:00:00Z"/>
        <d v="2026-03-02T00:00:00Z"/>
        <d v="2026-03-09T00:00:00Z"/>
        <d v="2026-04-13T00:00:00Z"/>
        <d v="2026-04-20T00:00:00Z"/>
        <d v="2026-04-27T00:00:00Z"/>
        <d v="2026-04-28T00:00:00Z"/>
        <d v="2026-05-06T00:00:00Z"/>
        <d v="2026-05-04T00:00:00Z"/>
        <d v="2026-05-12T00:00:00Z"/>
        <d v="2026-05-18T00:00:00Z"/>
        <d v="2026-05-25T00:00:00Z"/>
        <d v="2026-06-02T00:00:00Z"/>
        <d v="2026-06-08T00:00:00Z"/>
        <d v="2026-06-15T00:00:00Z"/>
        <d v="2026-06-22T00:00:00Z"/>
        <d v="2026-06-29T00:00:00Z"/>
        <d v="2026-07-06T00:00:00Z"/>
        <d v="2026-07-13T00:00:00Z"/>
        <d v="2026-07-20T00:00:00Z"/>
        <d v="2026-08-03T00:00:00Z"/>
        <d v="2026-08-10T00:00:00Z"/>
        <d v="2026-08-18T00:00:00Z"/>
        <d v="2026-08-26T00:00:00Z"/>
        <d v="2026-08-31T00:00:00Z"/>
        <d v="2026-09-08T00:00:00Z"/>
        <d v="2026-09-14T00:00:00Z"/>
        <d v="2026-09-28T00:00:00Z"/>
        <d v="2026-10-05T00:00:00Z"/>
        <d v="2026-10-26T00:00:00Z"/>
        <d v="2026-11-03T00:00:00Z"/>
        <d v="2026-11-10T00:00:00Z"/>
        <d v="2026-11-18T00:00:00Z"/>
      </sharedItems>
    </cacheField>
    <cacheField name="Tanggal Selesai" numFmtId="164">
      <sharedItems containsDate="1" containsString="0" containsBlank="1">
        <d v="2026-01-13T00:00:00Z"/>
        <d v="2026-01-14T00:00:00Z"/>
        <d v="2026-01-15T00:00:00Z"/>
        <m/>
        <d v="2026-01-19T00:00:00Z"/>
        <d v="2026-01-20T00:00:00Z"/>
        <d v="2026-01-21T00:00:00Z"/>
        <d v="2026-01-22T00:00:00Z"/>
        <d v="2026-01-26T00:00:00Z"/>
        <d v="2026-01-27T00:00:00Z"/>
        <d v="2026-01-28T00:00:00Z"/>
        <d v="2026-01-30T00:00:00Z"/>
        <d v="2026-02-03T00:00:00Z"/>
        <d v="2026-02-13T00:00:00Z"/>
        <d v="2026-02-20T00:00:00Z"/>
        <d v="2026-02-27T00:00:00Z"/>
        <d v="2026-03-06T00:00:00Z"/>
        <d v="2026-03-13T00:00:00Z"/>
        <d v="2026-04-17T00:00:00Z"/>
        <d v="2026-04-24T00:00:00Z"/>
        <d v="2026-04-28T00:00:00Z"/>
        <d v="2026-04-30T00:00:00Z"/>
        <d v="2026-05-05T00:00:00Z"/>
        <d v="2026-05-13T00:00:00Z"/>
        <d v="2026-05-12T00:00:00Z"/>
        <d v="2026-05-22T00:00:00Z"/>
        <d v="2026-06-05T00:00:00Z"/>
        <d v="2026-06-12T00:00:00Z"/>
        <d v="2026-06-19T00:00:00Z"/>
        <d v="2026-06-26T00:00:00Z"/>
        <d v="2026-06-30T00:00:00Z"/>
        <d v="2026-07-03T00:00:00Z"/>
        <d v="2026-07-10T00:00:00Z"/>
        <d v="2026-07-17T00:00:00Z"/>
        <d v="2026-07-31T00:00:00Z"/>
        <d v="2026-08-07T00:00:00Z"/>
        <d v="2026-08-13T00:00:00Z"/>
        <d v="2026-08-14T00:00:00Z"/>
        <d v="2026-08-21T00:00:00Z"/>
        <d v="2026-08-28T00:00:00Z"/>
        <d v="2026-09-04T00:00:00Z"/>
        <d v="2026-09-08T00:00:00Z"/>
        <d v="2026-09-18T00:00:00Z"/>
        <d v="2026-10-02T00:00:00Z"/>
        <d v="2026-10-16T00:00:00Z"/>
        <d v="2026-10-30T00:00:00Z"/>
        <d v="2026-11-06T00:00:00Z"/>
        <d v="2026-11-13T00:00:00Z"/>
        <d v="2026-11-18T00:00:00Z"/>
      </sharedItems>
    </cacheField>
    <cacheField name="Supervisor" numFmtId="0">
      <sharedItems containsBlank="1">
        <s v="Kirbani"/>
        <s v="Satrio Aji Nugroho"/>
        <m/>
      </sharedItems>
    </cacheField>
    <cacheField name="Status Kegiatan" numFmtId="0">
      <sharedItems containsBlank="1">
        <s v="Selesai"/>
        <m/>
        <s v="On Progress"/>
        <s v="Belum Mulai"/>
      </sharedItems>
    </cacheField>
    <cacheField name="Kategori_PUJK" numFmtId="0">
      <sharedItems containsBlank="1">
        <s v="Lainnya"/>
        <s v="PT BPD Kalimantan Selatan"/>
        <m/>
        <s v="PT BPR Gawisabumi Mandarsari"/>
        <s v="PT Sarana Kalsel Ventura"/>
        <s v="PT BPR Sanggam Cipta Sejahtera Balangan"/>
        <s v="PT BPR Tabalong Bersinar"/>
        <s v="PT Gadai Mega Sentosa"/>
        <s v="PT Gadai Sangat Jaya"/>
        <s v="PT BNI sekuritas"/>
      </sharedItems>
    </cacheField>
    <cacheField name="Kategori_Kota" numFmtId="0">
      <sharedItems containsBlank="1">
        <s v="Kab. Banjar"/>
        <s v="Kab. Hulu Sungai Utara"/>
        <s v="Kota Banjarmasin"/>
        <m/>
        <s v="Kota Banjarbaru"/>
        <s v="Kab. Tanah Laut"/>
        <s v="Kab. Hulu Sungai Selatan"/>
        <s v="Kab. Kotabaru"/>
        <s v="Kab. Batulicin"/>
        <s v="Kab. Balangan"/>
        <s v="Kab. Tabalong"/>
        <s v="Kab. Tapin"/>
        <s v="Lainnya"/>
      </sharedItems>
    </cacheField>
    <cacheField name="Kategori_Sektor" numFmtId="0">
      <sharedItems containsBlank="1">
        <s v="Perbankan"/>
        <s v="PVML"/>
        <m/>
        <s v="PPDP"/>
        <s v="Lainnya"/>
      </sharedItems>
    </cacheField>
    <cacheField name="Kategori_LJK" numFmtId="0">
      <sharedItems containsBlank="1">
        <s v="PPE Ebus"/>
        <s v="BPR"/>
        <s v="Lainnya"/>
        <s v="Bank Umum"/>
        <m/>
        <s v="Dana Pensiun"/>
        <s v="Modal Ventura"/>
        <s v="BPRS"/>
        <s v="APERD"/>
        <s v="Manajer Investasi"/>
        <s v="Perusahaan Efek"/>
      </sharedItems>
    </cacheField>
    <cacheField name="Kategori_JenisKegiatan" numFmtId="0">
      <sharedItems containsBlank="1">
        <s v="Prudential Meeting"/>
        <s v="Pemeriksaan Umum"/>
        <m/>
        <s v="KYBFI"/>
        <s v="Penyusunan LHP"/>
        <s v="Evaluasi Kinerja"/>
        <s v="Pengerjaan TKS"/>
        <s v="Penyusunan RBBR"/>
      </sharedItems>
    </cacheField>
    <cacheField name="Kategori_Supervisor" numFmtId="0">
      <sharedItems containsBlank="1">
        <s v="Kirbani"/>
        <s v="Satrio Aji Nugroho"/>
        <m/>
      </sharedItems>
    </cacheField>
    <cacheField name="Kategori_PUJK2" numFmtId="0">
      <sharedItems containsBlank="1">
        <s v="Lainnya"/>
        <s v="PT BPD Kalimantan Selatan"/>
        <m/>
        <s v="PT BPR Gawisabumi Mandarsari"/>
        <s v="PT Sarana Kalsel Ventura"/>
        <s v="PT BPR Sanggam Cipta Sejahtera Balangan"/>
        <s v="PT BPR Tabalong Bersinar"/>
        <s v="PT Gadai Mega Sentosa"/>
        <s v="PT Gadai Sangat Jaya"/>
        <s v="PT BNI sekuritas"/>
      </sharedItems>
    </cacheField>
    <cacheField name="Kategori_Kota2" numFmtId="0">
      <sharedItems containsBlank="1">
        <s v="Kab. Banjar"/>
        <s v="Kab. Hulu Sungai Utara"/>
        <s v="Kota Banjarmasin"/>
        <m/>
        <s v="Kota Banjarbaru"/>
        <s v="Kab. Tanah Laut"/>
        <s v="Kab. Hulu Sungai Selatan"/>
        <s v="Kab. Kotabaru"/>
        <s v="Kab. Batulicin"/>
        <s v="Kab. Balangan"/>
        <s v="Kab. Tabalong"/>
        <s v="Kab. Tapin"/>
        <s v="Lainnya"/>
      </sharedItems>
    </cacheField>
    <cacheField name="Kategori_Sektor2" numFmtId="0">
      <sharedItems containsBlank="1">
        <s v="Perbankan"/>
        <s v="PVML"/>
        <m/>
        <s v="PPDP"/>
        <s v="Lainnya"/>
      </sharedItems>
    </cacheField>
    <cacheField name="Kategori_LJK2" numFmtId="0">
      <sharedItems containsBlank="1">
        <s v="PPE Ebus"/>
        <s v="BPR"/>
        <s v="Lainnya"/>
        <s v="Bank Umum"/>
        <m/>
        <s v="Dana Pensiun"/>
        <s v="Modal Ventura"/>
        <s v="BPRS"/>
        <s v="APERD"/>
        <s v="Manajer Investasi"/>
        <s v="Perusahaan Efek"/>
      </sharedItems>
    </cacheField>
    <cacheField name="Kategori_JenisKegiatan2" numFmtId="0">
      <sharedItems containsBlank="1">
        <s v="Prudential Meeting"/>
        <s v="Pemeriksaan Umum"/>
        <m/>
        <s v="KYBFI"/>
        <s v="Penyusunan LHP"/>
        <s v="Evaluasi Kinerja"/>
        <s v="Pengerjaan TKS"/>
        <s v="Penyusunan RBBR"/>
      </sharedItems>
    </cacheField>
    <cacheField name="Kategori_Supervisor2" numFmtId="0">
      <sharedItems containsBlank="1">
        <s v="Kirbani"/>
        <s v="Satrio Aji Nugroho"/>
        <m/>
      </sharedItems>
    </cacheField>
    <cacheField name="Kategori_PUJK3" numFmtId="0">
      <sharedItems containsBlank="1">
        <s v="Lainnya"/>
        <s v="PT BPD Kalimantan Selatan"/>
        <m/>
        <s v="PT BPR Gawisabumi Mandarsari"/>
        <s v="PT Sarana Kalsel Ventura"/>
        <s v="PT BPR Sanggam Cipta Sejahtera Balangan"/>
        <s v="PT BPR Tabalong Bersinar"/>
        <s v="PT Gadai Mega Sentosa"/>
        <s v="PT Gadai Sangat Jaya"/>
        <s v="PT BNI sekuritas"/>
      </sharedItems>
    </cacheField>
    <cacheField name="Kategori_Kota3" numFmtId="0">
      <sharedItems containsBlank="1">
        <s v="Kab. Banjar"/>
        <s v="Kab. Hulu Sungai Utara"/>
        <s v="Kota Banjarmasin"/>
        <m/>
        <s v="Kota Banjarbaru"/>
        <s v="Kab. Tanah Laut"/>
        <s v="Kab. Hulu Sungai Selatan"/>
        <s v="Kab. Kotabaru"/>
        <s v="Kab. Batulicin"/>
        <s v="Kab. Balangan"/>
        <s v="Kab. Tabalong"/>
        <s v="Kab. Tapin"/>
        <s v="Lainnya"/>
      </sharedItems>
    </cacheField>
    <cacheField name="Kategori_Sektor3" numFmtId="0">
      <sharedItems containsBlank="1">
        <s v="Perbankan"/>
        <s v="PVML"/>
        <m/>
        <s v="PPDP"/>
        <s v="Lainnya"/>
      </sharedItems>
    </cacheField>
    <cacheField name="Kategori_LJK3" numFmtId="0">
      <sharedItems containsBlank="1">
        <s v="PPE Ebus"/>
        <s v="BPR"/>
        <s v="Lainnya"/>
        <s v="Bank Umum"/>
        <m/>
        <s v="Dana Pensiun"/>
        <s v="Modal Ventura"/>
        <s v="BPRS"/>
        <s v="APERD"/>
        <s v="Manajer Investasi"/>
        <s v="Perusahaan Efek"/>
      </sharedItems>
    </cacheField>
    <cacheField name="Kategori_JenisKegiatan3" numFmtId="0">
      <sharedItems containsBlank="1">
        <s v="Prudential Meeting"/>
        <s v="Pemeriksaan Umum"/>
        <m/>
        <s v="KYBFI"/>
        <s v="Penyusunan LHP"/>
        <s v="Evaluasi Kinerja"/>
        <s v="Pengerjaan TKS"/>
        <s v="Penyusunan RBBR"/>
      </sharedItems>
    </cacheField>
    <cacheField name="Kategori_Supervisor3" numFmtId="0">
      <sharedItems containsBlank="1">
        <s v="Kirbani"/>
        <s v="Satrio Aji Nugroho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0" dataCaption="" compact="0" compactData="0">
  <location ref="A3:B7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lan" axis="axisRow" compact="0" outline="0" multipleItemSelectionAllowed="1" showAll="0" sortType="ascending">
      <items>
        <item h="1" x="1"/>
        <item h="1" x="9"/>
        <item x="4"/>
        <item h="1" x="8"/>
        <item h="1" x="2"/>
        <item h="1" x="0"/>
        <item h="1" x="7"/>
        <item h="1" x="6"/>
        <item h="1" x="3"/>
        <item h="1" x="5"/>
        <item x="12"/>
        <item h="1" x="11"/>
        <item x="10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compact="0" outline="0" multipleItemSelectionAllowed="1" showAll="0">
      <items>
        <item x="0"/>
        <item x="1"/>
        <item x="2"/>
        <item t="default"/>
      </items>
    </pivotField>
    <pivotField name="Status Kegiatan" compact="0" outline="0" multipleItemSelectionAllowed="1" showAll="0">
      <items>
        <item x="0"/>
        <item x="1"/>
        <item x="2"/>
        <item x="3"/>
        <item t="default"/>
      </items>
    </pivotField>
    <pivotField name="Kategori_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" compact="0" outline="0" multipleItemSelectionAllowed="1" showAll="0">
      <items>
        <item x="0"/>
        <item x="1"/>
        <item x="2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Jumlah Kegiatan" fld="1" subtotal="count" baseField="0"/>
  </dataFields>
</pivotTableDefinition>
</file>

<file path=xl/pivotTables/pivotTable2.xml><?xml version="1.0" encoding="utf-8"?>
<pivotTableDefinition xmlns="http://schemas.openxmlformats.org/spreadsheetml/2006/main" name="PIVOT 2" cacheId="0" dataCaption="" compact="0" compactData="0">
  <location ref="A19:G24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lan" axis="axisRow" compact="0" outline="0" multipleItemSelectionAllowed="1" showAll="0" sortType="ascending">
      <items>
        <item h="1" x="1"/>
        <item h="1" x="9"/>
        <item x="4"/>
        <item h="1" x="8"/>
        <item h="1" x="2"/>
        <item h="1" x="0"/>
        <item h="1" x="7"/>
        <item h="1" x="6"/>
        <item h="1" x="3"/>
        <item h="1" x="5"/>
        <item x="12"/>
        <item h="1" x="11"/>
        <item x="10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compact="0" outline="0" multipleItemSelectionAllowed="1" showAll="0">
      <items>
        <item x="0"/>
        <item x="1"/>
        <item x="2"/>
        <item t="default"/>
      </items>
    </pivotField>
    <pivotField name="Status Kegiatan" compact="0" outline="0" multipleItemSelectionAllowed="1" showAll="0">
      <items>
        <item x="0"/>
        <item x="1"/>
        <item x="2"/>
        <item x="3"/>
        <item t="default"/>
      </items>
    </pivotField>
    <pivotField name="Kategori_PUJK" axis="axisCol" compact="0" outline="0" multipleItemSelectionAllowed="1" showAll="0" sortType="ascending">
      <items>
        <item h="1" x="2"/>
        <item x="0"/>
        <item x="9"/>
        <item x="1"/>
        <item x="3"/>
        <item x="5"/>
        <item x="6"/>
        <item x="7"/>
        <item x="8"/>
        <item x="4"/>
        <item t="default"/>
      </items>
    </pivotField>
    <pivotField name="Kategori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" compact="0" outline="0" multipleItemSelectionAllowed="1" showAll="0">
      <items>
        <item x="0"/>
        <item x="1"/>
        <item x="2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13"/>
  </colFields>
  <dataFields>
    <dataField name="Jumlah PUJK" fld="2" subtotal="count" baseField="0"/>
  </dataFields>
</pivotTableDefinition>
</file>

<file path=xl/pivotTables/pivotTable3.xml><?xml version="1.0" encoding="utf-8"?>
<pivotTableDefinition xmlns="http://schemas.openxmlformats.org/spreadsheetml/2006/main" name="PIVOT 3" cacheId="0" dataCaption="" compact="0" compactData="0">
  <location ref="A36:H41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lan" axis="axisRow" compact="0" outline="0" multipleItemSelectionAllowed="1" showAll="0" sortType="ascending">
      <items>
        <item h="1" x="1"/>
        <item h="1" x="9"/>
        <item x="4"/>
        <item h="1" x="8"/>
        <item h="1" x="2"/>
        <item h="1" x="0"/>
        <item h="1" x="7"/>
        <item h="1" x="6"/>
        <item h="1" x="3"/>
        <item h="1" x="5"/>
        <item x="12"/>
        <item h="1" x="11"/>
        <item x="10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compact="0" outline="0" multipleItemSelectionAllowed="1" showAll="0">
      <items>
        <item x="0"/>
        <item x="1"/>
        <item x="2"/>
        <item t="default"/>
      </items>
    </pivotField>
    <pivotField name="Status Kegiatan" compact="0" outline="0" multipleItemSelectionAllowed="1" showAll="0">
      <items>
        <item x="0"/>
        <item x="1"/>
        <item x="2"/>
        <item x="3"/>
        <item t="default"/>
      </items>
    </pivotField>
    <pivotField name="Kategori_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" axis="axisCol" compact="0" outline="0" multipleItemSelectionAllowed="1" showAll="0" sortType="ascending">
      <items>
        <item h="1" x="3"/>
        <item x="9"/>
        <item x="0"/>
        <item x="8"/>
        <item x="6"/>
        <item x="1"/>
        <item x="7"/>
        <item x="10"/>
        <item x="5"/>
        <item x="11"/>
        <item x="4"/>
        <item x="2"/>
        <item x="12"/>
        <item t="default"/>
      </items>
    </pivotField>
    <pivotField name="Kategori_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" compact="0" outline="0" multipleItemSelectionAllowed="1" showAll="0">
      <items>
        <item x="0"/>
        <item x="1"/>
        <item x="2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14"/>
  </colFields>
  <dataFields>
    <dataField name="Jumlah Kota/Kab" fld="3" subtotal="count" baseField="0"/>
  </dataFields>
</pivotTableDefinition>
</file>

<file path=xl/pivotTables/pivotTable4.xml><?xml version="1.0" encoding="utf-8"?>
<pivotTableDefinition xmlns="http://schemas.openxmlformats.org/spreadsheetml/2006/main" name="PIVOT 4" cacheId="0" dataCaption="" compact="0" compactData="0">
  <location ref="A53:F58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lan" axis="axisRow" compact="0" outline="0" multipleItemSelectionAllowed="1" showAll="0" sortType="ascending">
      <items>
        <item h="1" x="1"/>
        <item h="1" x="9"/>
        <item x="4"/>
        <item h="1" x="8"/>
        <item h="1" x="2"/>
        <item h="1" x="0"/>
        <item h="1" x="7"/>
        <item h="1" x="6"/>
        <item h="1" x="3"/>
        <item h="1" x="5"/>
        <item x="12"/>
        <item h="1" x="11"/>
        <item x="10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compact="0" outline="0" multipleItemSelectionAllowed="1" showAll="0">
      <items>
        <item x="0"/>
        <item x="1"/>
        <item x="2"/>
        <item t="default"/>
      </items>
    </pivotField>
    <pivotField name="Status Kegiatan" compact="0" outline="0" multipleItemSelectionAllowed="1" showAll="0">
      <items>
        <item x="0"/>
        <item x="1"/>
        <item x="2"/>
        <item x="3"/>
        <item t="default"/>
      </items>
    </pivotField>
    <pivotField name="Kategori_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" axis="axisCol" compact="0" outline="0" multipleItemSelectionAllowed="1" showAll="0" sortType="ascending">
      <items>
        <item h="1" x="2"/>
        <item x="4"/>
        <item x="0"/>
        <item x="3"/>
        <item x="1"/>
        <item t="default"/>
      </items>
    </pivotField>
    <pivotField name="Kategori_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" compact="0" outline="0" multipleItemSelectionAllowed="1" showAll="0">
      <items>
        <item x="0"/>
        <item x="1"/>
        <item x="2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15"/>
  </colFields>
  <dataFields>
    <dataField name="Jumlah Sektor" fld="4" subtotal="count" baseField="0"/>
  </dataFields>
</pivotTableDefinition>
</file>

<file path=xl/pivotTables/pivotTable5.xml><?xml version="1.0" encoding="utf-8"?>
<pivotTableDefinition xmlns="http://schemas.openxmlformats.org/spreadsheetml/2006/main" name="PIVOT 5" cacheId="0" dataCaption="" compact="0" compactData="0">
  <location ref="A70:H75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lan" axis="axisRow" compact="0" outline="0" multipleItemSelectionAllowed="1" showAll="0" sortType="ascending">
      <items>
        <item h="1" x="1"/>
        <item h="1" x="9"/>
        <item x="4"/>
        <item h="1" x="8"/>
        <item h="1" x="2"/>
        <item h="1" x="0"/>
        <item h="1" x="7"/>
        <item h="1" x="6"/>
        <item h="1" x="3"/>
        <item h="1" x="5"/>
        <item x="12"/>
        <item h="1" x="11"/>
        <item x="10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compact="0" outline="0" multipleItemSelectionAllowed="1" showAll="0">
      <items>
        <item x="0"/>
        <item x="1"/>
        <item x="2"/>
        <item t="default"/>
      </items>
    </pivotField>
    <pivotField name="Status Kegiatan" compact="0" outline="0" multipleItemSelectionAllowed="1" showAll="0">
      <items>
        <item x="0"/>
        <item x="1"/>
        <item x="2"/>
        <item x="3"/>
        <item t="default"/>
      </items>
    </pivotField>
    <pivotField name="Kategori_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" axis="axisCol" compact="0" outline="0" multipleItemSelectionAllowed="1" showAll="0" sortType="ascending">
      <items>
        <item h="1" x="4"/>
        <item x="8"/>
        <item x="3"/>
        <item x="1"/>
        <item x="7"/>
        <item x="5"/>
        <item x="2"/>
        <item x="9"/>
        <item x="6"/>
        <item x="10"/>
        <item x="0"/>
        <item t="default"/>
      </items>
    </pivotField>
    <pivotField name="Kategori_Jenis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" compact="0" outline="0" multipleItemSelectionAllowed="1" showAll="0">
      <items>
        <item x="0"/>
        <item x="1"/>
        <item x="2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16"/>
  </colFields>
  <dataFields>
    <dataField name="Jumlah LJK" fld="5" subtotal="count" baseField="0"/>
  </dataFields>
</pivotTableDefinition>
</file>

<file path=xl/pivotTables/pivotTable6.xml><?xml version="1.0" encoding="utf-8"?>
<pivotTableDefinition xmlns="http://schemas.openxmlformats.org/spreadsheetml/2006/main" name="PIVOT 6" cacheId="0" dataCaption="" compact="0" compactData="0">
  <location ref="A87:E92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lan" axis="axisRow" compact="0" outline="0" multipleItemSelectionAllowed="1" showAll="0" sortType="ascending">
      <items>
        <item h="1" x="1"/>
        <item h="1" x="9"/>
        <item x="4"/>
        <item h="1" x="8"/>
        <item h="1" x="2"/>
        <item h="1" x="0"/>
        <item h="1" x="7"/>
        <item h="1" x="6"/>
        <item h="1" x="3"/>
        <item h="1" x="5"/>
        <item x="12"/>
        <item h="1" x="11"/>
        <item x="10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compact="0" outline="0" multipleItemSelectionAllowed="1" showAll="0">
      <items>
        <item x="0"/>
        <item x="1"/>
        <item x="2"/>
        <item t="default"/>
      </items>
    </pivotField>
    <pivotField name="Status Kegiatan" compact="0" outline="0" multipleItemSelectionAllowed="1" showAll="0">
      <items>
        <item x="0"/>
        <item x="1"/>
        <item x="2"/>
        <item x="3"/>
        <item t="default"/>
      </items>
    </pivotField>
    <pivotField name="Kategori_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" axis="axisCol" compact="0" outline="0" multipleItemSelectionAllowed="1" showAll="0" sortType="ascending">
      <items>
        <item h="1" x="2"/>
        <item x="5"/>
        <item x="3"/>
        <item x="1"/>
        <item x="6"/>
        <item x="4"/>
        <item x="7"/>
        <item x="0"/>
        <item t="default"/>
      </items>
    </pivotField>
    <pivotField name="Kategori_Supervisor" compact="0" outline="0" multipleItemSelectionAllowed="1" showAll="0">
      <items>
        <item x="0"/>
        <item x="1"/>
        <item x="2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17"/>
  </colFields>
  <dataFields>
    <dataField name="Jumlah Kegiatan" fld="6" subtotal="count" baseField="0"/>
  </dataFields>
</pivotTableDefinition>
</file>

<file path=xl/pivotTables/pivotTable7.xml><?xml version="1.0" encoding="utf-8"?>
<pivotTableDefinition xmlns="http://schemas.openxmlformats.org/spreadsheetml/2006/main" name="PIVOT 7" cacheId="0" dataCaption="" compact="0" compactData="0">
  <location ref="A104:B109" firstHeaderRow="0" firstDataRow="1" firstDataCol="0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axis="axisRow" compact="0" outline="0" multipleItemSelectionAllowed="1" showAll="0" sortType="ascending">
      <items>
        <item h="1" x="1"/>
        <item x="0"/>
        <item x="2"/>
        <item x="3"/>
        <item x="4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compact="0" outline="0" multipleItemSelectionAllowed="1" showAll="0">
      <items>
        <item x="0"/>
        <item x="1"/>
        <item x="2"/>
        <item t="default"/>
      </items>
    </pivotField>
    <pivotField name="Status Kegiatan" compact="0" outline="0" multipleItemSelectionAllowed="1" showAll="0">
      <items>
        <item x="0"/>
        <item x="1"/>
        <item x="2"/>
        <item x="3"/>
        <item t="default"/>
      </items>
    </pivotField>
    <pivotField name="Kategori_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" compact="0" outline="0" multipleItemSelectionAllowed="1" showAll="0">
      <items>
        <item x="0"/>
        <item x="1"/>
        <item x="2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dataFields>
    <dataField name="Jumlah Kegiatan" fld="1" subtotal="count" baseField="0"/>
  </dataFields>
</pivotTableDefinition>
</file>

<file path=xl/pivotTables/pivotTable8.xml><?xml version="1.0" encoding="utf-8"?>
<pivotTableDefinition xmlns="http://schemas.openxmlformats.org/spreadsheetml/2006/main" name="PIVOT 8" cacheId="0" dataCaption="" compact="0" compactData="0">
  <location ref="A113:D118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lan" axis="axisRow" compact="0" outline="0" multipleItemSelectionAllowed="1" showAll="0" sortType="ascending">
      <items>
        <item h="1" x="1"/>
        <item h="1" x="9"/>
        <item x="4"/>
        <item h="1" x="8"/>
        <item h="1" x="2"/>
        <item h="1" x="0"/>
        <item h="1" x="7"/>
        <item h="1" x="6"/>
        <item h="1" x="3"/>
        <item h="1" x="5"/>
        <item x="12"/>
        <item h="1" x="11"/>
        <item x="10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dataField="1" compact="0" outline="0" multipleItemSelectionAllowed="1" showAll="0">
      <items>
        <item x="0"/>
        <item x="1"/>
        <item x="2"/>
        <item t="default"/>
      </items>
    </pivotField>
    <pivotField name="Status Kegiatan" compact="0" outline="0" multipleItemSelectionAllowed="1" showAll="0">
      <items>
        <item x="0"/>
        <item x="1"/>
        <item x="2"/>
        <item x="3"/>
        <item t="default"/>
      </items>
    </pivotField>
    <pivotField name="Kategori_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" axis="axisCol" compact="0" outline="0" multipleItemSelectionAllowed="1" showAll="0" sortType="ascending">
      <items>
        <item h="1" x="2"/>
        <item x="0"/>
        <item x="1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18"/>
  </colFields>
  <dataFields>
    <dataField name="Jumlah Kegiatan" fld="11" subtotal="count" baseField="0"/>
  </dataFields>
</pivotTableDefinition>
</file>

<file path=xl/pivotTables/pivotTable9.xml><?xml version="1.0" encoding="utf-8"?>
<pivotTableDefinition xmlns="http://schemas.openxmlformats.org/spreadsheetml/2006/main" name="PIVOT 9" cacheId="0" dataCaption="" compact="0" compactData="0">
  <location ref="A130:D135" firstHeaderRow="0" firstDataRow="1" firstDataCol="1"/>
  <pivotFields>
    <pivotField name="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Bank / Kegiatan Pengawas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Nama 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Kota/Kab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enis 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enis 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uartal (Q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Bulan" axis="axisRow" compact="0" outline="0" multipleItemSelectionAllowed="1" showAll="0" sortType="ascending">
      <items>
        <item h="1" x="1"/>
        <item h="1" x="9"/>
        <item x="4"/>
        <item h="1" x="8"/>
        <item h="1" x="2"/>
        <item h="1" x="0"/>
        <item h="1" x="7"/>
        <item h="1" x="6"/>
        <item h="1" x="3"/>
        <item h="1" x="5"/>
        <item x="12"/>
        <item h="1" x="11"/>
        <item x="10"/>
        <item t="default"/>
      </items>
    </pivotField>
    <pivotField name="Tanggal Mul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Tanggal Selesai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upervisor" compact="0" outline="0" multipleItemSelectionAllowed="1" showAll="0">
      <items>
        <item x="0"/>
        <item x="1"/>
        <item x="2"/>
        <item t="default"/>
      </items>
    </pivotField>
    <pivotField name="Status Kegiatan" axis="axisCol" dataField="1" compact="0" outline="0" multipleItemSelectionAllowed="1" showAll="0" sortType="ascending">
      <items>
        <item h="1" x="1"/>
        <item x="3"/>
        <item x="2"/>
        <item x="0"/>
        <item t="default"/>
      </items>
    </pivotField>
    <pivotField name="Kategori_PU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" compact="0" outline="0" multipleItemSelectionAllowed="1" showAll="0">
      <items>
        <item x="0"/>
        <item x="1"/>
        <item x="2"/>
        <item t="default"/>
      </items>
    </pivotField>
    <pivotField name="Kategori_PU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2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2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2" compact="0" outline="0" multipleItemSelectionAllowed="1" showAll="0">
      <items>
        <item x="0"/>
        <item x="1"/>
        <item x="2"/>
        <item t="default"/>
      </items>
    </pivotField>
    <pivotField name="Kategori_PU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Kategori_Kota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Kategori_Sektor3" compact="0" outline="0" multipleItemSelectionAllowed="1" showAll="0">
      <items>
        <item x="0"/>
        <item x="1"/>
        <item x="2"/>
        <item x="3"/>
        <item x="4"/>
        <item t="default"/>
      </items>
    </pivotField>
    <pivotField name="Kategori_LJK3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Kategori_JenisKegiatan3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Kategori_Supervisor3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colFields>
    <field x="12"/>
  </colFields>
  <dataFields>
    <dataField name="Jumlah Status" fld="12" subtotal="count" baseField="0"/>
  </dataFields>
</pivotTableDefinition>
</file>

<file path=xl/tables/table1.xml><?xml version="1.0" encoding="utf-8"?>
<table xmlns="http://schemas.openxmlformats.org/spreadsheetml/2006/main" ref="A1:AE95" displayName="tblData" name="tblData" id="1">
  <tableColumns count="31">
    <tableColumn name="No" id="1"/>
    <tableColumn name="Nama Bank / Kegiatan Pengawasan" id="2"/>
    <tableColumn name="Nama PUJK" id="3"/>
    <tableColumn name="Kota/Kab" id="4"/>
    <tableColumn name="Sektor" id="5"/>
    <tableColumn name="Jenis LJK" id="6"/>
    <tableColumn name="Jenis Kegiatan" id="7"/>
    <tableColumn name="Kuartal (Q)" id="8"/>
    <tableColumn name="Bulan" id="9"/>
    <tableColumn name="Tanggal Mulai" id="10"/>
    <tableColumn name="Tanggal Selesai" id="11"/>
    <tableColumn name="Supervisor" id="12"/>
    <tableColumn name="Status Kegiatan" id="13"/>
    <tableColumn name="Kategori_PUJK" id="14"/>
    <tableColumn name="Kategori_Kota" id="15"/>
    <tableColumn name="Kategori_Sektor" id="16"/>
    <tableColumn name="Kategori_LJK" id="17"/>
    <tableColumn name="Kategori_JenisKegiatan" id="18"/>
    <tableColumn name="Kategori_Supervisor" id="19"/>
    <tableColumn name="Kategori_PUJK2" id="20"/>
    <tableColumn name="Kategori_Kota2" id="21"/>
    <tableColumn name="Kategori_Sektor2" id="22"/>
    <tableColumn name="Kategori_LJK2" id="23"/>
    <tableColumn name="Kategori_JenisKegiatan2" id="24"/>
    <tableColumn name="Kategori_Supervisor2" id="25"/>
    <tableColumn name="Kategori_PUJK3" id="26"/>
    <tableColumn name="Kategori_Kota3" id="27"/>
    <tableColumn name="Kategori_Sektor3" id="28"/>
    <tableColumn name="Kategori_LJK3" id="29"/>
    <tableColumn name="Kategori_JenisKegiatan3" id="30"/>
    <tableColumn name="Kategori_Supervisor3" id="31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0" Type="http://schemas.openxmlformats.org/officeDocument/2006/relationships/drawing" Target="../drawings/drawing2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 codeName="Sheet1"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96.29"/>
    <col customWidth="1" min="3" max="3" width="37.71"/>
    <col customWidth="1" min="4" max="5" width="35.71"/>
    <col customWidth="1" min="6" max="7" width="19.86"/>
    <col customWidth="1" min="8" max="8" width="26.29"/>
    <col customWidth="1" min="9" max="9" width="19.57"/>
    <col customWidth="1" min="10" max="11" width="22.43"/>
    <col customWidth="1" min="12" max="12" width="14.14"/>
    <col customWidth="1" min="13" max="13" width="24.0"/>
    <col customWidth="1" hidden="1" min="14" max="14" width="11.57"/>
    <col customWidth="1" hidden="1" min="15" max="15" width="11.29"/>
    <col customWidth="1" hidden="1" min="16" max="16" width="8.86"/>
    <col customWidth="1" hidden="1" min="17" max="17" width="12.57"/>
    <col customWidth="1" hidden="1" min="18" max="19" width="9.43"/>
    <col customWidth="1" hidden="1" min="20" max="21" width="8.86"/>
    <col customWidth="1" hidden="1" min="22" max="31" width="8.71"/>
  </cols>
  <sheetData>
    <row r="1" ht="15.75" customHeight="1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7" t="s">
        <v>9</v>
      </c>
      <c r="H1" s="7" t="s">
        <v>11</v>
      </c>
      <c r="I1" s="7" t="s">
        <v>6</v>
      </c>
      <c r="J1" s="7" t="s">
        <v>15</v>
      </c>
      <c r="K1" s="7" t="s">
        <v>16</v>
      </c>
      <c r="L1" s="8" t="s">
        <v>17</v>
      </c>
      <c r="M1" s="8" t="s">
        <v>18</v>
      </c>
      <c r="N1" s="9" t="s">
        <v>19</v>
      </c>
      <c r="O1" s="9" t="s">
        <v>21</v>
      </c>
      <c r="P1" s="10" t="s">
        <v>22</v>
      </c>
      <c r="Q1" s="10" t="s">
        <v>23</v>
      </c>
      <c r="R1" s="11" t="s">
        <v>24</v>
      </c>
      <c r="S1" s="9" t="s">
        <v>25</v>
      </c>
      <c r="T1" s="10" t="s">
        <v>26</v>
      </c>
      <c r="U1" s="10" t="s">
        <v>27</v>
      </c>
      <c r="V1" s="11" t="s">
        <v>28</v>
      </c>
      <c r="W1" s="9" t="s">
        <v>29</v>
      </c>
      <c r="X1" s="12" t="s">
        <v>30</v>
      </c>
      <c r="Y1" s="12" t="s">
        <v>31</v>
      </c>
      <c r="Z1" s="12" t="s">
        <v>32</v>
      </c>
      <c r="AA1" s="12" t="s">
        <v>33</v>
      </c>
      <c r="AB1" s="12" t="s">
        <v>34</v>
      </c>
      <c r="AC1" s="12" t="s">
        <v>35</v>
      </c>
      <c r="AD1" s="12" t="s">
        <v>36</v>
      </c>
      <c r="AE1" s="12" t="s">
        <v>37</v>
      </c>
    </row>
    <row r="2">
      <c r="A2" s="13">
        <v>1.0</v>
      </c>
      <c r="B2" s="14" t="s">
        <v>39</v>
      </c>
      <c r="C2" s="14" t="s">
        <v>40</v>
      </c>
      <c r="D2" s="14" t="s">
        <v>46</v>
      </c>
      <c r="E2" s="14" t="s">
        <v>47</v>
      </c>
      <c r="F2" s="14" t="s">
        <v>48</v>
      </c>
      <c r="G2" s="14" t="s">
        <v>49</v>
      </c>
      <c r="H2" s="15" t="s">
        <v>50</v>
      </c>
      <c r="I2" s="15" t="str">
        <f>TEXT(DATA!$J2,"[$-id-ID]mmmm")</f>
        <v>January</v>
      </c>
      <c r="J2" s="16">
        <v>46035.0</v>
      </c>
      <c r="K2" s="16">
        <v>46035.0</v>
      </c>
      <c r="L2" s="15" t="s">
        <v>51</v>
      </c>
      <c r="M2" s="15" t="s">
        <v>52</v>
      </c>
      <c r="N2" s="15" t="s">
        <v>41</v>
      </c>
      <c r="O2" s="15" t="s">
        <v>46</v>
      </c>
      <c r="P2" s="15" t="s">
        <v>47</v>
      </c>
      <c r="Q2" s="15" t="s">
        <v>48</v>
      </c>
      <c r="R2" s="15" t="s">
        <v>49</v>
      </c>
      <c r="S2" s="15" t="s">
        <v>51</v>
      </c>
      <c r="T2" s="15" t="s">
        <v>41</v>
      </c>
      <c r="U2" s="15" t="s">
        <v>46</v>
      </c>
      <c r="V2" s="15" t="s">
        <v>47</v>
      </c>
      <c r="W2" s="17" t="s">
        <v>48</v>
      </c>
      <c r="X2" s="17" t="s">
        <v>49</v>
      </c>
      <c r="Y2" s="17" t="s">
        <v>51</v>
      </c>
      <c r="Z2" s="17" t="s">
        <v>41</v>
      </c>
      <c r="AA2" s="17" t="s">
        <v>46</v>
      </c>
      <c r="AB2" s="17" t="s">
        <v>47</v>
      </c>
      <c r="AC2" s="17" t="s">
        <v>48</v>
      </c>
      <c r="AD2" s="17" t="s">
        <v>49</v>
      </c>
      <c r="AE2" s="17" t="s">
        <v>51</v>
      </c>
    </row>
    <row r="3">
      <c r="A3" s="13">
        <v>2.0</v>
      </c>
      <c r="B3" s="14" t="s">
        <v>58</v>
      </c>
      <c r="C3" s="14" t="s">
        <v>61</v>
      </c>
      <c r="D3" s="14" t="s">
        <v>62</v>
      </c>
      <c r="E3" s="14" t="s">
        <v>47</v>
      </c>
      <c r="F3" s="14" t="s">
        <v>63</v>
      </c>
      <c r="G3" s="14" t="s">
        <v>49</v>
      </c>
      <c r="H3" s="15" t="s">
        <v>50</v>
      </c>
      <c r="I3" s="15" t="str">
        <f>TEXT(DATA!$J3,"[$-id-ID]mmmm")</f>
        <v>January</v>
      </c>
      <c r="J3" s="18">
        <v>46036.0</v>
      </c>
      <c r="K3" s="18">
        <v>46036.0</v>
      </c>
      <c r="L3" s="15" t="s">
        <v>64</v>
      </c>
      <c r="M3" s="15" t="s">
        <v>52</v>
      </c>
      <c r="N3" s="15" t="s">
        <v>41</v>
      </c>
      <c r="O3" s="15" t="s">
        <v>62</v>
      </c>
      <c r="P3" s="15" t="s">
        <v>47</v>
      </c>
      <c r="Q3" s="15" t="s">
        <v>63</v>
      </c>
      <c r="R3" s="15" t="s">
        <v>49</v>
      </c>
      <c r="S3" s="15" t="s">
        <v>64</v>
      </c>
      <c r="T3" s="15" t="s">
        <v>41</v>
      </c>
      <c r="U3" s="15" t="s">
        <v>62</v>
      </c>
      <c r="V3" s="15" t="s">
        <v>47</v>
      </c>
      <c r="W3" s="17" t="s">
        <v>63</v>
      </c>
      <c r="X3" s="17" t="s">
        <v>49</v>
      </c>
      <c r="Y3" s="17" t="s">
        <v>64</v>
      </c>
      <c r="Z3" s="17" t="s">
        <v>41</v>
      </c>
      <c r="AA3" s="17" t="s">
        <v>62</v>
      </c>
      <c r="AB3" s="17" t="s">
        <v>47</v>
      </c>
      <c r="AC3" s="17" t="s">
        <v>63</v>
      </c>
      <c r="AD3" s="17" t="s">
        <v>49</v>
      </c>
      <c r="AE3" s="17" t="s">
        <v>64</v>
      </c>
    </row>
    <row r="4">
      <c r="A4" s="13">
        <v>3.0</v>
      </c>
      <c r="B4" s="14" t="s">
        <v>66</v>
      </c>
      <c r="C4" s="14" t="s">
        <v>67</v>
      </c>
      <c r="D4" s="14" t="s">
        <v>60</v>
      </c>
      <c r="E4" s="14" t="s">
        <v>47</v>
      </c>
      <c r="F4" s="14" t="s">
        <v>63</v>
      </c>
      <c r="G4" s="14" t="s">
        <v>68</v>
      </c>
      <c r="H4" s="15" t="s">
        <v>50</v>
      </c>
      <c r="I4" s="15" t="str">
        <f>TEXT(DATA!$J4,"[$-id-ID]mmmm")</f>
        <v>January</v>
      </c>
      <c r="J4" s="18">
        <v>46036.0</v>
      </c>
      <c r="K4" s="18">
        <v>46036.0</v>
      </c>
      <c r="L4" s="15" t="s">
        <v>51</v>
      </c>
      <c r="M4" s="15" t="s">
        <v>52</v>
      </c>
      <c r="N4" s="15" t="s">
        <v>41</v>
      </c>
      <c r="O4" s="15" t="s">
        <v>60</v>
      </c>
      <c r="P4" s="15" t="s">
        <v>47</v>
      </c>
      <c r="Q4" s="15" t="s">
        <v>63</v>
      </c>
      <c r="R4" s="15" t="s">
        <v>68</v>
      </c>
      <c r="S4" s="15" t="s">
        <v>51</v>
      </c>
      <c r="T4" s="15" t="s">
        <v>41</v>
      </c>
      <c r="U4" s="15" t="s">
        <v>60</v>
      </c>
      <c r="V4" s="15" t="s">
        <v>47</v>
      </c>
      <c r="W4" s="17" t="s">
        <v>63</v>
      </c>
      <c r="X4" s="17" t="s">
        <v>68</v>
      </c>
      <c r="Y4" s="17" t="s">
        <v>51</v>
      </c>
      <c r="Z4" s="17" t="s">
        <v>41</v>
      </c>
      <c r="AA4" s="17" t="s">
        <v>60</v>
      </c>
      <c r="AB4" s="17" t="s">
        <v>47</v>
      </c>
      <c r="AC4" s="17" t="s">
        <v>63</v>
      </c>
      <c r="AD4" s="17" t="s">
        <v>68</v>
      </c>
      <c r="AE4" s="17" t="s">
        <v>51</v>
      </c>
    </row>
    <row r="5">
      <c r="A5" s="13">
        <v>4.0</v>
      </c>
      <c r="B5" s="14" t="s">
        <v>72</v>
      </c>
      <c r="C5" s="14" t="s">
        <v>73</v>
      </c>
      <c r="D5" s="14" t="s">
        <v>60</v>
      </c>
      <c r="E5" s="14" t="s">
        <v>71</v>
      </c>
      <c r="F5" s="14" t="s">
        <v>75</v>
      </c>
      <c r="G5" s="14" t="s">
        <v>49</v>
      </c>
      <c r="H5" s="15" t="s">
        <v>50</v>
      </c>
      <c r="I5" s="15" t="str">
        <f>TEXT(DATA!$J5,"[$-id-ID]mmmm")</f>
        <v>January</v>
      </c>
      <c r="J5" s="18">
        <v>46037.0</v>
      </c>
      <c r="K5" s="18">
        <v>46037.0</v>
      </c>
      <c r="L5" s="15" t="s">
        <v>64</v>
      </c>
      <c r="M5" s="15" t="s">
        <v>52</v>
      </c>
      <c r="N5" s="15" t="s">
        <v>41</v>
      </c>
      <c r="O5" s="15" t="s">
        <v>60</v>
      </c>
      <c r="P5" s="15" t="s">
        <v>71</v>
      </c>
      <c r="Q5" s="15" t="s">
        <v>41</v>
      </c>
      <c r="R5" s="15" t="s">
        <v>49</v>
      </c>
      <c r="S5" s="15" t="s">
        <v>64</v>
      </c>
      <c r="T5" s="15" t="s">
        <v>41</v>
      </c>
      <c r="U5" s="15" t="s">
        <v>60</v>
      </c>
      <c r="V5" s="15" t="s">
        <v>71</v>
      </c>
      <c r="W5" s="17" t="s">
        <v>41</v>
      </c>
      <c r="X5" s="17" t="s">
        <v>49</v>
      </c>
      <c r="Y5" s="17" t="s">
        <v>64</v>
      </c>
      <c r="Z5" s="17" t="s">
        <v>41</v>
      </c>
      <c r="AA5" s="17" t="s">
        <v>60</v>
      </c>
      <c r="AB5" s="17" t="s">
        <v>71</v>
      </c>
      <c r="AC5" s="17" t="s">
        <v>41</v>
      </c>
      <c r="AD5" s="17" t="s">
        <v>49</v>
      </c>
      <c r="AE5" s="17" t="s">
        <v>64</v>
      </c>
    </row>
    <row r="6">
      <c r="A6" s="13">
        <v>5.0</v>
      </c>
      <c r="B6" s="14" t="s">
        <v>81</v>
      </c>
      <c r="C6" s="14" t="s">
        <v>43</v>
      </c>
      <c r="D6" s="14" t="s">
        <v>60</v>
      </c>
      <c r="E6" s="14" t="s">
        <v>47</v>
      </c>
      <c r="F6" s="14" t="s">
        <v>78</v>
      </c>
      <c r="G6" s="14" t="s">
        <v>49</v>
      </c>
      <c r="H6" s="15" t="s">
        <v>50</v>
      </c>
      <c r="I6" s="15" t="str">
        <f>TEXT(DATA!$J6,"[$-id-ID]mmmm")</f>
        <v>January</v>
      </c>
      <c r="J6" s="18">
        <v>46037.0</v>
      </c>
      <c r="K6" s="18">
        <v>46037.0</v>
      </c>
      <c r="L6" s="15" t="s">
        <v>51</v>
      </c>
      <c r="M6" s="15" t="s">
        <v>52</v>
      </c>
      <c r="N6" s="15" t="s">
        <v>43</v>
      </c>
      <c r="O6" s="15" t="s">
        <v>60</v>
      </c>
      <c r="P6" s="15" t="s">
        <v>47</v>
      </c>
      <c r="Q6" s="15" t="s">
        <v>78</v>
      </c>
      <c r="R6" s="15" t="s">
        <v>49</v>
      </c>
      <c r="S6" s="15" t="s">
        <v>51</v>
      </c>
      <c r="T6" s="15" t="s">
        <v>43</v>
      </c>
      <c r="U6" s="15" t="s">
        <v>60</v>
      </c>
      <c r="V6" s="15" t="s">
        <v>47</v>
      </c>
      <c r="W6" s="17" t="s">
        <v>78</v>
      </c>
      <c r="X6" s="17" t="s">
        <v>49</v>
      </c>
      <c r="Y6" s="17" t="s">
        <v>51</v>
      </c>
      <c r="Z6" s="17" t="s">
        <v>43</v>
      </c>
      <c r="AA6" s="17" t="s">
        <v>60</v>
      </c>
      <c r="AB6" s="17" t="s">
        <v>47</v>
      </c>
      <c r="AC6" s="17" t="s">
        <v>78</v>
      </c>
      <c r="AD6" s="17" t="s">
        <v>49</v>
      </c>
      <c r="AE6" s="17" t="s">
        <v>51</v>
      </c>
    </row>
    <row r="7">
      <c r="A7" s="19">
        <v>6.0</v>
      </c>
      <c r="B7" s="20" t="s">
        <v>83</v>
      </c>
      <c r="C7" s="21"/>
      <c r="D7" s="21"/>
      <c r="E7" s="21"/>
      <c r="F7" s="21"/>
      <c r="G7" s="22"/>
      <c r="H7" s="22"/>
      <c r="I7" s="22"/>
      <c r="J7" s="23"/>
      <c r="K7" s="23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13">
        <v>7.0</v>
      </c>
      <c r="B8" s="14" t="s">
        <v>44</v>
      </c>
      <c r="C8" s="14" t="s">
        <v>44</v>
      </c>
      <c r="D8" s="14" t="s">
        <v>59</v>
      </c>
      <c r="E8" s="14" t="s">
        <v>47</v>
      </c>
      <c r="F8" s="14" t="s">
        <v>63</v>
      </c>
      <c r="G8" s="14" t="s">
        <v>68</v>
      </c>
      <c r="H8" s="15" t="s">
        <v>50</v>
      </c>
      <c r="I8" s="15" t="str">
        <f>TEXT(DATA!$J8,"[$-id-ID]mmmm")</f>
        <v>January</v>
      </c>
      <c r="J8" s="18">
        <v>46041.0</v>
      </c>
      <c r="K8" s="18">
        <v>46041.0</v>
      </c>
      <c r="L8" s="15" t="s">
        <v>51</v>
      </c>
      <c r="M8" s="15" t="s">
        <v>52</v>
      </c>
      <c r="N8" s="15" t="s">
        <v>44</v>
      </c>
      <c r="O8" s="15" t="s">
        <v>59</v>
      </c>
      <c r="P8" s="15" t="s">
        <v>47</v>
      </c>
      <c r="Q8" s="15" t="s">
        <v>63</v>
      </c>
      <c r="R8" s="15" t="s">
        <v>68</v>
      </c>
      <c r="S8" s="15" t="s">
        <v>51</v>
      </c>
      <c r="T8" s="15" t="s">
        <v>44</v>
      </c>
      <c r="U8" s="15" t="s">
        <v>59</v>
      </c>
      <c r="V8" s="15" t="s">
        <v>47</v>
      </c>
      <c r="W8" s="17" t="s">
        <v>63</v>
      </c>
      <c r="X8" s="17" t="s">
        <v>68</v>
      </c>
      <c r="Y8" s="17" t="s">
        <v>51</v>
      </c>
      <c r="Z8" s="17" t="s">
        <v>44</v>
      </c>
      <c r="AA8" s="17" t="s">
        <v>59</v>
      </c>
      <c r="AB8" s="17" t="s">
        <v>47</v>
      </c>
      <c r="AC8" s="17" t="s">
        <v>63</v>
      </c>
      <c r="AD8" s="17" t="s">
        <v>68</v>
      </c>
      <c r="AE8" s="17" t="s">
        <v>51</v>
      </c>
    </row>
    <row r="9">
      <c r="A9" s="13">
        <v>8.0</v>
      </c>
      <c r="B9" s="25" t="s">
        <v>90</v>
      </c>
      <c r="C9" s="14" t="s">
        <v>43</v>
      </c>
      <c r="D9" s="14" t="s">
        <v>60</v>
      </c>
      <c r="E9" s="14" t="s">
        <v>47</v>
      </c>
      <c r="F9" s="14" t="s">
        <v>79</v>
      </c>
      <c r="G9" s="14" t="s">
        <v>68</v>
      </c>
      <c r="H9" s="15" t="s">
        <v>50</v>
      </c>
      <c r="I9" s="15" t="str">
        <f>TEXT(DATA!$J9,"[$-id-ID]mmmm")</f>
        <v>January</v>
      </c>
      <c r="J9" s="18">
        <v>46041.0</v>
      </c>
      <c r="K9" s="18">
        <v>46041.0</v>
      </c>
      <c r="L9" s="15" t="s">
        <v>64</v>
      </c>
      <c r="M9" s="15" t="s">
        <v>52</v>
      </c>
      <c r="N9" s="15" t="s">
        <v>43</v>
      </c>
      <c r="O9" s="15" t="s">
        <v>60</v>
      </c>
      <c r="P9" s="15" t="s">
        <v>47</v>
      </c>
      <c r="Q9" s="15" t="s">
        <v>79</v>
      </c>
      <c r="R9" s="15" t="s">
        <v>68</v>
      </c>
      <c r="S9" s="15" t="s">
        <v>64</v>
      </c>
      <c r="T9" s="15" t="s">
        <v>43</v>
      </c>
      <c r="U9" s="15" t="s">
        <v>60</v>
      </c>
      <c r="V9" s="15" t="s">
        <v>47</v>
      </c>
      <c r="W9" s="17" t="s">
        <v>79</v>
      </c>
      <c r="X9" s="17" t="s">
        <v>68</v>
      </c>
      <c r="Y9" s="17" t="s">
        <v>64</v>
      </c>
      <c r="Z9" s="17" t="s">
        <v>43</v>
      </c>
      <c r="AA9" s="17" t="s">
        <v>60</v>
      </c>
      <c r="AB9" s="17" t="s">
        <v>47</v>
      </c>
      <c r="AC9" s="17" t="s">
        <v>79</v>
      </c>
      <c r="AD9" s="17" t="s">
        <v>68</v>
      </c>
      <c r="AE9" s="17" t="s">
        <v>64</v>
      </c>
    </row>
    <row r="10">
      <c r="A10" s="13">
        <v>9.0</v>
      </c>
      <c r="B10" s="25" t="s">
        <v>94</v>
      </c>
      <c r="C10" s="25" t="s">
        <v>95</v>
      </c>
      <c r="D10" s="14" t="s">
        <v>60</v>
      </c>
      <c r="E10" s="25" t="s">
        <v>71</v>
      </c>
      <c r="F10" s="14" t="s">
        <v>96</v>
      </c>
      <c r="G10" s="14" t="s">
        <v>68</v>
      </c>
      <c r="H10" s="15" t="s">
        <v>50</v>
      </c>
      <c r="I10" s="15" t="str">
        <f>TEXT(DATA!$J10,"[$-id-ID]mmmm")</f>
        <v>January</v>
      </c>
      <c r="J10" s="18">
        <v>46041.0</v>
      </c>
      <c r="K10" s="18">
        <v>46041.0</v>
      </c>
      <c r="L10" s="15" t="s">
        <v>51</v>
      </c>
      <c r="M10" s="15" t="s">
        <v>52</v>
      </c>
      <c r="N10" s="15" t="s">
        <v>95</v>
      </c>
      <c r="O10" s="15" t="s">
        <v>60</v>
      </c>
      <c r="P10" s="15" t="s">
        <v>71</v>
      </c>
      <c r="Q10" s="15" t="s">
        <v>96</v>
      </c>
      <c r="R10" s="15" t="s">
        <v>68</v>
      </c>
      <c r="S10" s="15" t="s">
        <v>51</v>
      </c>
      <c r="T10" s="15" t="s">
        <v>95</v>
      </c>
      <c r="U10" s="15" t="s">
        <v>60</v>
      </c>
      <c r="V10" s="15" t="s">
        <v>71</v>
      </c>
      <c r="W10" s="17" t="s">
        <v>96</v>
      </c>
      <c r="X10" s="17" t="s">
        <v>68</v>
      </c>
      <c r="Y10" s="17" t="s">
        <v>51</v>
      </c>
      <c r="Z10" s="17" t="s">
        <v>95</v>
      </c>
      <c r="AA10" s="17" t="s">
        <v>60</v>
      </c>
      <c r="AB10" s="17" t="s">
        <v>71</v>
      </c>
      <c r="AC10" s="17" t="s">
        <v>96</v>
      </c>
      <c r="AD10" s="17" t="s">
        <v>68</v>
      </c>
      <c r="AE10" s="17" t="s">
        <v>51</v>
      </c>
    </row>
    <row r="11">
      <c r="A11" s="13">
        <v>10.0</v>
      </c>
      <c r="B11" s="14" t="s">
        <v>97</v>
      </c>
      <c r="C11" s="25" t="s">
        <v>98</v>
      </c>
      <c r="D11" s="14" t="s">
        <v>56</v>
      </c>
      <c r="E11" s="25" t="s">
        <v>47</v>
      </c>
      <c r="F11" s="14" t="s">
        <v>63</v>
      </c>
      <c r="G11" s="14" t="s">
        <v>49</v>
      </c>
      <c r="H11" s="15" t="s">
        <v>50</v>
      </c>
      <c r="I11" s="15" t="str">
        <f>TEXT(DATA!$J11,"[$-id-ID]mmmm")</f>
        <v>January</v>
      </c>
      <c r="J11" s="18">
        <v>46042.0</v>
      </c>
      <c r="K11" s="18">
        <v>46042.0</v>
      </c>
      <c r="L11" s="15" t="s">
        <v>64</v>
      </c>
      <c r="M11" s="15" t="s">
        <v>52</v>
      </c>
      <c r="N11" s="15" t="s">
        <v>41</v>
      </c>
      <c r="O11" s="15" t="s">
        <v>56</v>
      </c>
      <c r="P11" s="15"/>
      <c r="Q11" s="15" t="s">
        <v>63</v>
      </c>
      <c r="R11" s="15" t="s">
        <v>49</v>
      </c>
      <c r="S11" s="15" t="s">
        <v>64</v>
      </c>
      <c r="T11" s="15" t="s">
        <v>41</v>
      </c>
      <c r="U11" s="15" t="s">
        <v>56</v>
      </c>
      <c r="V11" s="15" t="s">
        <v>47</v>
      </c>
      <c r="W11" s="17" t="s">
        <v>63</v>
      </c>
      <c r="X11" s="17" t="s">
        <v>49</v>
      </c>
      <c r="Y11" s="17" t="s">
        <v>64</v>
      </c>
      <c r="Z11" s="17" t="s">
        <v>41</v>
      </c>
      <c r="AA11" s="17" t="s">
        <v>56</v>
      </c>
      <c r="AB11" s="17" t="s">
        <v>47</v>
      </c>
      <c r="AC11" s="17" t="s">
        <v>63</v>
      </c>
      <c r="AD11" s="17" t="s">
        <v>49</v>
      </c>
      <c r="AE11" s="17" t="s">
        <v>64</v>
      </c>
    </row>
    <row r="12">
      <c r="A12" s="13">
        <v>11.0</v>
      </c>
      <c r="B12" s="25" t="s">
        <v>99</v>
      </c>
      <c r="C12" s="25" t="s">
        <v>100</v>
      </c>
      <c r="D12" s="14" t="s">
        <v>101</v>
      </c>
      <c r="E12" s="25" t="s">
        <v>47</v>
      </c>
      <c r="F12" s="14" t="s">
        <v>63</v>
      </c>
      <c r="G12" s="14" t="s">
        <v>68</v>
      </c>
      <c r="H12" s="15" t="s">
        <v>50</v>
      </c>
      <c r="I12" s="15" t="str">
        <f>TEXT(DATA!$J12,"[$-id-ID]mmmm")</f>
        <v>January</v>
      </c>
      <c r="J12" s="18">
        <v>46042.0</v>
      </c>
      <c r="K12" s="18">
        <v>46042.0</v>
      </c>
      <c r="L12" s="15" t="s">
        <v>64</v>
      </c>
      <c r="M12" s="15" t="s">
        <v>52</v>
      </c>
      <c r="N12" s="15" t="s">
        <v>41</v>
      </c>
      <c r="O12" s="15" t="s">
        <v>101</v>
      </c>
      <c r="P12" s="15" t="s">
        <v>47</v>
      </c>
      <c r="Q12" s="15" t="s">
        <v>63</v>
      </c>
      <c r="R12" s="15" t="s">
        <v>68</v>
      </c>
      <c r="S12" s="15" t="s">
        <v>64</v>
      </c>
      <c r="T12" s="15" t="s">
        <v>41</v>
      </c>
      <c r="U12" s="15" t="s">
        <v>101</v>
      </c>
      <c r="V12" s="15" t="s">
        <v>47</v>
      </c>
      <c r="W12" s="17" t="s">
        <v>63</v>
      </c>
      <c r="X12" s="17" t="s">
        <v>68</v>
      </c>
      <c r="Y12" s="17" t="s">
        <v>64</v>
      </c>
      <c r="Z12" s="17" t="s">
        <v>41</v>
      </c>
      <c r="AA12" s="17" t="s">
        <v>101</v>
      </c>
      <c r="AB12" s="17" t="s">
        <v>47</v>
      </c>
      <c r="AC12" s="17" t="s">
        <v>63</v>
      </c>
      <c r="AD12" s="17" t="s">
        <v>68</v>
      </c>
      <c r="AE12" s="17" t="s">
        <v>64</v>
      </c>
    </row>
    <row r="13">
      <c r="A13" s="13">
        <v>12.0</v>
      </c>
      <c r="B13" s="25" t="s">
        <v>102</v>
      </c>
      <c r="C13" s="25" t="s">
        <v>103</v>
      </c>
      <c r="D13" s="14" t="s">
        <v>46</v>
      </c>
      <c r="E13" s="25" t="s">
        <v>47</v>
      </c>
      <c r="F13" s="14" t="s">
        <v>63</v>
      </c>
      <c r="G13" s="14" t="s">
        <v>68</v>
      </c>
      <c r="H13" s="15" t="s">
        <v>50</v>
      </c>
      <c r="I13" s="15" t="str">
        <f>TEXT(DATA!$J13,"[$-id-ID]mmmm")</f>
        <v>January</v>
      </c>
      <c r="J13" s="18">
        <v>46042.0</v>
      </c>
      <c r="K13" s="18">
        <v>46042.0</v>
      </c>
      <c r="L13" s="15" t="s">
        <v>51</v>
      </c>
      <c r="M13" s="15" t="s">
        <v>52</v>
      </c>
      <c r="N13" s="15" t="s">
        <v>41</v>
      </c>
      <c r="O13" s="15" t="s">
        <v>46</v>
      </c>
      <c r="P13" s="15" t="s">
        <v>47</v>
      </c>
      <c r="Q13" s="15" t="s">
        <v>63</v>
      </c>
      <c r="R13" s="15" t="s">
        <v>68</v>
      </c>
      <c r="S13" s="15" t="s">
        <v>51</v>
      </c>
      <c r="T13" s="15" t="s">
        <v>41</v>
      </c>
      <c r="U13" s="15" t="s">
        <v>46</v>
      </c>
      <c r="V13" s="15" t="s">
        <v>47</v>
      </c>
      <c r="W13" s="17" t="s">
        <v>63</v>
      </c>
      <c r="X13" s="17" t="s">
        <v>68</v>
      </c>
      <c r="Y13" s="17" t="s">
        <v>51</v>
      </c>
      <c r="Z13" s="17" t="s">
        <v>41</v>
      </c>
      <c r="AA13" s="17" t="s">
        <v>46</v>
      </c>
      <c r="AB13" s="17" t="s">
        <v>47</v>
      </c>
      <c r="AC13" s="17" t="s">
        <v>63</v>
      </c>
      <c r="AD13" s="17" t="s">
        <v>68</v>
      </c>
      <c r="AE13" s="17" t="s">
        <v>51</v>
      </c>
    </row>
    <row r="14">
      <c r="A14" s="13">
        <v>13.0</v>
      </c>
      <c r="B14" s="14" t="s">
        <v>104</v>
      </c>
      <c r="C14" s="14" t="s">
        <v>105</v>
      </c>
      <c r="D14" s="14" t="s">
        <v>55</v>
      </c>
      <c r="E14" s="14"/>
      <c r="F14" s="14" t="s">
        <v>63</v>
      </c>
      <c r="G14" s="14" t="s">
        <v>68</v>
      </c>
      <c r="H14" s="15" t="s">
        <v>50</v>
      </c>
      <c r="I14" s="15" t="str">
        <f>TEXT(DATA!$J14,"[$-id-ID]mmmm")</f>
        <v>January</v>
      </c>
      <c r="J14" s="18">
        <v>46043.0</v>
      </c>
      <c r="K14" s="18">
        <v>46043.0</v>
      </c>
      <c r="L14" s="15" t="s">
        <v>64</v>
      </c>
      <c r="M14" s="15" t="s">
        <v>52</v>
      </c>
      <c r="N14" s="15" t="s">
        <v>41</v>
      </c>
      <c r="O14" s="15" t="s">
        <v>55</v>
      </c>
      <c r="P14" s="15"/>
      <c r="Q14" s="15" t="s">
        <v>63</v>
      </c>
      <c r="R14" s="15" t="s">
        <v>68</v>
      </c>
      <c r="S14" s="15" t="s">
        <v>64</v>
      </c>
      <c r="T14" s="15" t="s">
        <v>41</v>
      </c>
      <c r="U14" s="15" t="s">
        <v>55</v>
      </c>
      <c r="V14" s="15"/>
      <c r="W14" s="17" t="s">
        <v>63</v>
      </c>
      <c r="X14" s="17" t="s">
        <v>68</v>
      </c>
      <c r="Y14" s="17" t="s">
        <v>64</v>
      </c>
      <c r="Z14" s="17" t="s">
        <v>41</v>
      </c>
      <c r="AA14" s="17" t="s">
        <v>55</v>
      </c>
      <c r="AB14" s="17"/>
      <c r="AC14" s="17" t="s">
        <v>63</v>
      </c>
      <c r="AD14" s="17" t="s">
        <v>68</v>
      </c>
      <c r="AE14" s="17" t="s">
        <v>64</v>
      </c>
    </row>
    <row r="15">
      <c r="A15" s="13">
        <v>14.0</v>
      </c>
      <c r="B15" s="25" t="s">
        <v>106</v>
      </c>
      <c r="C15" s="25" t="s">
        <v>107</v>
      </c>
      <c r="D15" s="14" t="s">
        <v>108</v>
      </c>
      <c r="E15" s="25" t="s">
        <v>47</v>
      </c>
      <c r="F15" s="14" t="s">
        <v>63</v>
      </c>
      <c r="G15" s="14" t="s">
        <v>68</v>
      </c>
      <c r="H15" s="15" t="s">
        <v>50</v>
      </c>
      <c r="I15" s="15" t="str">
        <f>TEXT(DATA!$J15,"[$-id-ID]mmmm")</f>
        <v>January</v>
      </c>
      <c r="J15" s="18">
        <v>46043.0</v>
      </c>
      <c r="K15" s="18">
        <v>46043.0</v>
      </c>
      <c r="L15" s="15" t="s">
        <v>51</v>
      </c>
      <c r="M15" s="15" t="s">
        <v>52</v>
      </c>
      <c r="N15" s="15" t="s">
        <v>41</v>
      </c>
      <c r="O15" s="15" t="s">
        <v>108</v>
      </c>
      <c r="P15" s="15" t="s">
        <v>47</v>
      </c>
      <c r="Q15" s="15" t="s">
        <v>63</v>
      </c>
      <c r="R15" s="15" t="s">
        <v>68</v>
      </c>
      <c r="S15" s="15" t="s">
        <v>51</v>
      </c>
      <c r="T15" s="15" t="s">
        <v>41</v>
      </c>
      <c r="U15" s="15" t="s">
        <v>108</v>
      </c>
      <c r="V15" s="15" t="s">
        <v>47</v>
      </c>
      <c r="W15" s="17" t="s">
        <v>63</v>
      </c>
      <c r="X15" s="17" t="s">
        <v>68</v>
      </c>
      <c r="Y15" s="17" t="s">
        <v>51</v>
      </c>
      <c r="Z15" s="17" t="s">
        <v>41</v>
      </c>
      <c r="AA15" s="17" t="s">
        <v>108</v>
      </c>
      <c r="AB15" s="17" t="s">
        <v>47</v>
      </c>
      <c r="AC15" s="17" t="s">
        <v>63</v>
      </c>
      <c r="AD15" s="17" t="s">
        <v>68</v>
      </c>
      <c r="AE15" s="17" t="s">
        <v>51</v>
      </c>
    </row>
    <row r="16">
      <c r="A16" s="13">
        <v>15.0</v>
      </c>
      <c r="B16" s="14" t="s">
        <v>109</v>
      </c>
      <c r="C16" s="14" t="s">
        <v>110</v>
      </c>
      <c r="D16" s="14" t="s">
        <v>59</v>
      </c>
      <c r="E16" s="14" t="s">
        <v>47</v>
      </c>
      <c r="F16" s="14" t="s">
        <v>63</v>
      </c>
      <c r="G16" s="14" t="s">
        <v>68</v>
      </c>
      <c r="H16" s="15" t="s">
        <v>50</v>
      </c>
      <c r="I16" s="15" t="str">
        <f>TEXT(DATA!$J16,"[$-id-ID]mmmm")</f>
        <v>January</v>
      </c>
      <c r="J16" s="18">
        <v>46044.0</v>
      </c>
      <c r="K16" s="18">
        <v>46044.0</v>
      </c>
      <c r="L16" s="15" t="s">
        <v>51</v>
      </c>
      <c r="M16" s="15" t="s">
        <v>52</v>
      </c>
      <c r="N16" s="15" t="s">
        <v>41</v>
      </c>
      <c r="O16" s="15" t="s">
        <v>59</v>
      </c>
      <c r="P16" s="15" t="s">
        <v>47</v>
      </c>
      <c r="Q16" s="15" t="s">
        <v>63</v>
      </c>
      <c r="R16" s="15" t="s">
        <v>68</v>
      </c>
      <c r="S16" s="15" t="s">
        <v>51</v>
      </c>
      <c r="T16" s="15" t="s">
        <v>41</v>
      </c>
      <c r="U16" s="15" t="s">
        <v>59</v>
      </c>
      <c r="V16" s="15" t="s">
        <v>47</v>
      </c>
      <c r="W16" s="17" t="s">
        <v>63</v>
      </c>
      <c r="X16" s="17" t="s">
        <v>68</v>
      </c>
      <c r="Y16" s="17" t="s">
        <v>51</v>
      </c>
      <c r="Z16" s="17" t="s">
        <v>41</v>
      </c>
      <c r="AA16" s="17" t="s">
        <v>59</v>
      </c>
      <c r="AB16" s="17" t="s">
        <v>47</v>
      </c>
      <c r="AC16" s="17" t="s">
        <v>63</v>
      </c>
      <c r="AD16" s="17" t="s">
        <v>68</v>
      </c>
      <c r="AE16" s="17" t="s">
        <v>51</v>
      </c>
    </row>
    <row r="17">
      <c r="A17" s="13">
        <v>16.0</v>
      </c>
      <c r="B17" s="25" t="s">
        <v>111</v>
      </c>
      <c r="C17" s="25" t="s">
        <v>112</v>
      </c>
      <c r="D17" s="14" t="s">
        <v>46</v>
      </c>
      <c r="E17" s="25" t="s">
        <v>47</v>
      </c>
      <c r="F17" s="14" t="s">
        <v>63</v>
      </c>
      <c r="G17" s="14" t="s">
        <v>68</v>
      </c>
      <c r="H17" s="15" t="s">
        <v>50</v>
      </c>
      <c r="I17" s="15" t="str">
        <f>TEXT(DATA!$J17,"[$-id-ID]mmmm")</f>
        <v>January</v>
      </c>
      <c r="J17" s="18">
        <v>46044.0</v>
      </c>
      <c r="K17" s="18">
        <v>46044.0</v>
      </c>
      <c r="L17" s="15" t="s">
        <v>51</v>
      </c>
      <c r="M17" s="15" t="s">
        <v>52</v>
      </c>
      <c r="N17" s="15" t="s">
        <v>41</v>
      </c>
      <c r="O17" s="15" t="s">
        <v>46</v>
      </c>
      <c r="P17" s="15" t="s">
        <v>47</v>
      </c>
      <c r="Q17" s="15" t="s">
        <v>63</v>
      </c>
      <c r="R17" s="15" t="s">
        <v>68</v>
      </c>
      <c r="S17" s="15" t="s">
        <v>51</v>
      </c>
      <c r="T17" s="15" t="s">
        <v>41</v>
      </c>
      <c r="U17" s="15" t="s">
        <v>46</v>
      </c>
      <c r="V17" s="15" t="s">
        <v>47</v>
      </c>
      <c r="W17" s="17" t="s">
        <v>63</v>
      </c>
      <c r="X17" s="17" t="s">
        <v>68</v>
      </c>
      <c r="Y17" s="17" t="s">
        <v>51</v>
      </c>
      <c r="Z17" s="17" t="s">
        <v>41</v>
      </c>
      <c r="AA17" s="17" t="s">
        <v>46</v>
      </c>
      <c r="AB17" s="17" t="s">
        <v>47</v>
      </c>
      <c r="AC17" s="17" t="s">
        <v>63</v>
      </c>
      <c r="AD17" s="17" t="s">
        <v>68</v>
      </c>
      <c r="AE17" s="17" t="s">
        <v>51</v>
      </c>
    </row>
    <row r="18">
      <c r="A18" s="13">
        <v>17.0</v>
      </c>
      <c r="B18" s="14" t="s">
        <v>113</v>
      </c>
      <c r="C18" s="14" t="s">
        <v>113</v>
      </c>
      <c r="D18" s="14" t="s">
        <v>114</v>
      </c>
      <c r="E18" s="14" t="s">
        <v>47</v>
      </c>
      <c r="F18" s="14" t="s">
        <v>63</v>
      </c>
      <c r="G18" s="14" t="s">
        <v>68</v>
      </c>
      <c r="H18" s="15" t="s">
        <v>50</v>
      </c>
      <c r="I18" s="15" t="str">
        <f>TEXT(DATA!$J18,"[$-id-ID]mmmm")</f>
        <v>January</v>
      </c>
      <c r="J18" s="18">
        <v>46044.0</v>
      </c>
      <c r="K18" s="18">
        <v>46044.0</v>
      </c>
      <c r="L18" s="15" t="s">
        <v>51</v>
      </c>
      <c r="M18" s="15" t="s">
        <v>52</v>
      </c>
      <c r="N18" s="15" t="s">
        <v>113</v>
      </c>
      <c r="O18" s="15" t="s">
        <v>114</v>
      </c>
      <c r="P18" s="15" t="s">
        <v>47</v>
      </c>
      <c r="Q18" s="15" t="s">
        <v>63</v>
      </c>
      <c r="R18" s="15" t="s">
        <v>68</v>
      </c>
      <c r="S18" s="15" t="s">
        <v>51</v>
      </c>
      <c r="T18" s="15" t="s">
        <v>113</v>
      </c>
      <c r="U18" s="15" t="s">
        <v>114</v>
      </c>
      <c r="V18" s="15" t="s">
        <v>47</v>
      </c>
      <c r="W18" s="17" t="s">
        <v>63</v>
      </c>
      <c r="X18" s="17" t="s">
        <v>68</v>
      </c>
      <c r="Y18" s="17" t="s">
        <v>51</v>
      </c>
      <c r="Z18" s="17" t="s">
        <v>113</v>
      </c>
      <c r="AA18" s="17" t="s">
        <v>114</v>
      </c>
      <c r="AB18" s="17" t="s">
        <v>47</v>
      </c>
      <c r="AC18" s="17" t="s">
        <v>63</v>
      </c>
      <c r="AD18" s="17" t="s">
        <v>68</v>
      </c>
      <c r="AE18" s="17" t="s">
        <v>51</v>
      </c>
    </row>
    <row r="19">
      <c r="A19" s="13">
        <v>18.0</v>
      </c>
      <c r="B19" s="25" t="s">
        <v>115</v>
      </c>
      <c r="C19" s="25" t="s">
        <v>115</v>
      </c>
      <c r="D19" s="14" t="s">
        <v>46</v>
      </c>
      <c r="E19" s="25" t="s">
        <v>47</v>
      </c>
      <c r="F19" s="14" t="s">
        <v>116</v>
      </c>
      <c r="G19" s="14" t="s">
        <v>68</v>
      </c>
      <c r="H19" s="15" t="s">
        <v>50</v>
      </c>
      <c r="I19" s="15" t="str">
        <f>TEXT(DATA!$J19,"[$-id-ID]mmmm")</f>
        <v>January</v>
      </c>
      <c r="J19" s="18">
        <v>46048.0</v>
      </c>
      <c r="K19" s="18">
        <v>46048.0</v>
      </c>
      <c r="L19" s="15" t="s">
        <v>64</v>
      </c>
      <c r="M19" s="15" t="s">
        <v>52</v>
      </c>
      <c r="N19" s="15" t="s">
        <v>41</v>
      </c>
      <c r="O19" s="15" t="s">
        <v>46</v>
      </c>
      <c r="P19" s="15" t="s">
        <v>47</v>
      </c>
      <c r="Q19" s="15" t="s">
        <v>116</v>
      </c>
      <c r="R19" s="15" t="s">
        <v>68</v>
      </c>
      <c r="S19" s="15" t="s">
        <v>64</v>
      </c>
      <c r="T19" s="15" t="s">
        <v>41</v>
      </c>
      <c r="U19" s="15" t="s">
        <v>46</v>
      </c>
      <c r="V19" s="15" t="s">
        <v>47</v>
      </c>
      <c r="W19" s="17" t="s">
        <v>116</v>
      </c>
      <c r="X19" s="17" t="s">
        <v>68</v>
      </c>
      <c r="Y19" s="17" t="s">
        <v>64</v>
      </c>
      <c r="Z19" s="17" t="s">
        <v>41</v>
      </c>
      <c r="AA19" s="17" t="s">
        <v>46</v>
      </c>
      <c r="AB19" s="17" t="s">
        <v>47</v>
      </c>
      <c r="AC19" s="17" t="s">
        <v>116</v>
      </c>
      <c r="AD19" s="17" t="s">
        <v>68</v>
      </c>
      <c r="AE19" s="17" t="s">
        <v>64</v>
      </c>
    </row>
    <row r="20">
      <c r="A20" s="13">
        <v>19.0</v>
      </c>
      <c r="B20" s="25" t="s">
        <v>117</v>
      </c>
      <c r="C20" s="25" t="s">
        <v>117</v>
      </c>
      <c r="D20" s="14" t="s">
        <v>118</v>
      </c>
      <c r="E20" s="25" t="s">
        <v>47</v>
      </c>
      <c r="F20" s="14" t="s">
        <v>63</v>
      </c>
      <c r="G20" s="14" t="s">
        <v>68</v>
      </c>
      <c r="H20" s="15" t="s">
        <v>50</v>
      </c>
      <c r="I20" s="15" t="str">
        <f>TEXT(DATA!$J20,"[$-id-ID]mmmm")</f>
        <v>January</v>
      </c>
      <c r="J20" s="18">
        <v>46049.0</v>
      </c>
      <c r="K20" s="18">
        <v>46049.0</v>
      </c>
      <c r="L20" s="15" t="s">
        <v>64</v>
      </c>
      <c r="M20" s="15" t="s">
        <v>52</v>
      </c>
      <c r="N20" s="15" t="s">
        <v>117</v>
      </c>
      <c r="O20" s="15" t="s">
        <v>118</v>
      </c>
      <c r="P20" s="15" t="s">
        <v>47</v>
      </c>
      <c r="Q20" s="15" t="s">
        <v>63</v>
      </c>
      <c r="R20" s="15" t="s">
        <v>68</v>
      </c>
      <c r="S20" s="15" t="s">
        <v>64</v>
      </c>
      <c r="T20" s="15" t="s">
        <v>117</v>
      </c>
      <c r="U20" s="15" t="s">
        <v>118</v>
      </c>
      <c r="V20" s="15" t="s">
        <v>47</v>
      </c>
      <c r="W20" s="17" t="s">
        <v>63</v>
      </c>
      <c r="X20" s="17" t="s">
        <v>68</v>
      </c>
      <c r="Y20" s="17" t="s">
        <v>64</v>
      </c>
      <c r="Z20" s="17" t="s">
        <v>117</v>
      </c>
      <c r="AA20" s="17" t="s">
        <v>118</v>
      </c>
      <c r="AB20" s="17" t="s">
        <v>47</v>
      </c>
      <c r="AC20" s="17" t="s">
        <v>63</v>
      </c>
      <c r="AD20" s="17" t="s">
        <v>68</v>
      </c>
      <c r="AE20" s="17" t="s">
        <v>64</v>
      </c>
    </row>
    <row r="21" ht="15.75" customHeight="1">
      <c r="A21" s="13">
        <v>20.0</v>
      </c>
      <c r="B21" s="25" t="s">
        <v>119</v>
      </c>
      <c r="C21" s="25" t="s">
        <v>120</v>
      </c>
      <c r="D21" s="14" t="s">
        <v>57</v>
      </c>
      <c r="E21" s="25" t="s">
        <v>47</v>
      </c>
      <c r="F21" s="14" t="s">
        <v>63</v>
      </c>
      <c r="G21" s="14" t="s">
        <v>68</v>
      </c>
      <c r="H21" s="15" t="s">
        <v>50</v>
      </c>
      <c r="I21" s="15" t="str">
        <f>TEXT(DATA!$J21,"[$-id-ID]mmmm")</f>
        <v>January</v>
      </c>
      <c r="J21" s="18">
        <v>46050.0</v>
      </c>
      <c r="K21" s="18">
        <v>46050.0</v>
      </c>
      <c r="L21" s="15" t="s">
        <v>51</v>
      </c>
      <c r="M21" s="15" t="s">
        <v>52</v>
      </c>
      <c r="N21" s="15" t="s">
        <v>41</v>
      </c>
      <c r="O21" s="15" t="s">
        <v>57</v>
      </c>
      <c r="P21" s="15" t="s">
        <v>47</v>
      </c>
      <c r="Q21" s="15" t="s">
        <v>63</v>
      </c>
      <c r="R21" s="15" t="s">
        <v>68</v>
      </c>
      <c r="S21" s="15" t="s">
        <v>51</v>
      </c>
      <c r="T21" s="15" t="s">
        <v>41</v>
      </c>
      <c r="U21" s="15" t="s">
        <v>57</v>
      </c>
      <c r="V21" s="15" t="s">
        <v>47</v>
      </c>
      <c r="W21" s="17" t="s">
        <v>63</v>
      </c>
      <c r="X21" s="17" t="s">
        <v>68</v>
      </c>
      <c r="Y21" s="17" t="s">
        <v>51</v>
      </c>
      <c r="Z21" s="17" t="s">
        <v>41</v>
      </c>
      <c r="AA21" s="17" t="s">
        <v>57</v>
      </c>
      <c r="AB21" s="17" t="s">
        <v>47</v>
      </c>
      <c r="AC21" s="17" t="s">
        <v>63</v>
      </c>
      <c r="AD21" s="17" t="s">
        <v>68</v>
      </c>
      <c r="AE21" s="17" t="s">
        <v>51</v>
      </c>
    </row>
    <row r="22" ht="15.75" customHeight="1">
      <c r="A22" s="13">
        <v>21.0</v>
      </c>
      <c r="B22" s="25" t="s">
        <v>121</v>
      </c>
      <c r="C22" s="25" t="s">
        <v>41</v>
      </c>
      <c r="D22" s="14" t="s">
        <v>41</v>
      </c>
      <c r="E22" s="25" t="s">
        <v>47</v>
      </c>
      <c r="F22" s="14" t="s">
        <v>63</v>
      </c>
      <c r="G22" s="14" t="s">
        <v>122</v>
      </c>
      <c r="H22" s="15" t="s">
        <v>50</v>
      </c>
      <c r="I22" s="15" t="str">
        <f>TEXT(DATA!$J22,"[$-id-ID]mmmm")</f>
        <v>January</v>
      </c>
      <c r="J22" s="18">
        <v>46048.0</v>
      </c>
      <c r="K22" s="18">
        <v>46052.0</v>
      </c>
      <c r="L22" s="15" t="s">
        <v>64</v>
      </c>
      <c r="M22" s="15" t="s">
        <v>52</v>
      </c>
      <c r="N22" s="15" t="s">
        <v>41</v>
      </c>
      <c r="O22" s="15" t="s">
        <v>41</v>
      </c>
      <c r="P22" s="15" t="s">
        <v>47</v>
      </c>
      <c r="Q22" s="15" t="s">
        <v>63</v>
      </c>
      <c r="R22" s="15" t="s">
        <v>122</v>
      </c>
      <c r="S22" s="15" t="s">
        <v>64</v>
      </c>
      <c r="T22" s="15" t="s">
        <v>41</v>
      </c>
      <c r="U22" s="15" t="s">
        <v>41</v>
      </c>
      <c r="V22" s="15" t="s">
        <v>47</v>
      </c>
      <c r="W22" s="17" t="s">
        <v>63</v>
      </c>
      <c r="X22" s="17" t="s">
        <v>122</v>
      </c>
      <c r="Y22" s="17" t="s">
        <v>64</v>
      </c>
      <c r="Z22" s="17" t="s">
        <v>41</v>
      </c>
      <c r="AA22" s="17" t="s">
        <v>41</v>
      </c>
      <c r="AB22" s="17" t="s">
        <v>47</v>
      </c>
      <c r="AC22" s="17" t="s">
        <v>63</v>
      </c>
      <c r="AD22" s="17" t="s">
        <v>122</v>
      </c>
      <c r="AE22" s="17" t="s">
        <v>64</v>
      </c>
    </row>
    <row r="23" ht="15.75" customHeight="1">
      <c r="A23" s="13">
        <v>22.0</v>
      </c>
      <c r="B23" s="26" t="s">
        <v>123</v>
      </c>
      <c r="C23" s="26" t="s">
        <v>41</v>
      </c>
      <c r="D23" s="14"/>
      <c r="E23" s="26" t="s">
        <v>47</v>
      </c>
      <c r="F23" s="14" t="s">
        <v>63</v>
      </c>
      <c r="G23" s="14" t="s">
        <v>122</v>
      </c>
      <c r="H23" s="15" t="s">
        <v>50</v>
      </c>
      <c r="I23" s="15" t="str">
        <f>TEXT(DATA!$J23,"[$-id-ID]mmmm")</f>
        <v>January</v>
      </c>
      <c r="J23" s="18">
        <v>46051.0</v>
      </c>
      <c r="K23" s="18">
        <v>46052.0</v>
      </c>
      <c r="L23" s="15" t="s">
        <v>51</v>
      </c>
      <c r="M23" s="15" t="s">
        <v>52</v>
      </c>
      <c r="N23" s="15" t="s">
        <v>41</v>
      </c>
      <c r="O23" s="15"/>
      <c r="P23" s="15" t="s">
        <v>47</v>
      </c>
      <c r="Q23" s="15" t="s">
        <v>63</v>
      </c>
      <c r="R23" s="15" t="s">
        <v>122</v>
      </c>
      <c r="S23" s="15" t="s">
        <v>51</v>
      </c>
      <c r="T23" s="15" t="s">
        <v>41</v>
      </c>
      <c r="U23" s="15"/>
      <c r="V23" s="15" t="s">
        <v>47</v>
      </c>
      <c r="W23" s="17" t="s">
        <v>63</v>
      </c>
      <c r="X23" s="17" t="s">
        <v>122</v>
      </c>
      <c r="Y23" s="17" t="s">
        <v>51</v>
      </c>
      <c r="Z23" s="17" t="s">
        <v>41</v>
      </c>
      <c r="AA23" s="17"/>
      <c r="AB23" s="17" t="s">
        <v>47</v>
      </c>
      <c r="AC23" s="17" t="s">
        <v>63</v>
      </c>
      <c r="AD23" s="17" t="s">
        <v>122</v>
      </c>
      <c r="AE23" s="17" t="s">
        <v>51</v>
      </c>
    </row>
    <row r="24" ht="15.75" customHeight="1">
      <c r="A24" s="13">
        <v>23.0</v>
      </c>
      <c r="B24" s="25" t="s">
        <v>124</v>
      </c>
      <c r="C24" s="14" t="s">
        <v>43</v>
      </c>
      <c r="D24" s="14" t="s">
        <v>60</v>
      </c>
      <c r="E24" s="14" t="s">
        <v>47</v>
      </c>
      <c r="F24" s="14" t="s">
        <v>78</v>
      </c>
      <c r="G24" s="14" t="s">
        <v>84</v>
      </c>
      <c r="H24" s="15" t="s">
        <v>50</v>
      </c>
      <c r="I24" s="15" t="str">
        <f>TEXT(DATA!$J24,"[$-id-ID]mmmm")</f>
        <v>January</v>
      </c>
      <c r="J24" s="18">
        <v>46052.0</v>
      </c>
      <c r="K24" s="18">
        <v>46052.0</v>
      </c>
      <c r="L24" s="15" t="s">
        <v>51</v>
      </c>
      <c r="M24" s="15" t="s">
        <v>52</v>
      </c>
      <c r="N24" s="15" t="s">
        <v>43</v>
      </c>
      <c r="O24" s="15" t="s">
        <v>60</v>
      </c>
      <c r="P24" s="15" t="s">
        <v>47</v>
      </c>
      <c r="Q24" s="15" t="s">
        <v>78</v>
      </c>
      <c r="R24" s="15" t="s">
        <v>84</v>
      </c>
      <c r="S24" s="15" t="s">
        <v>51</v>
      </c>
      <c r="T24" s="15" t="s">
        <v>43</v>
      </c>
      <c r="U24" s="15" t="s">
        <v>60</v>
      </c>
      <c r="V24" s="15" t="s">
        <v>47</v>
      </c>
      <c r="W24" s="17" t="s">
        <v>78</v>
      </c>
      <c r="X24" s="17" t="s">
        <v>84</v>
      </c>
      <c r="Y24" s="17" t="s">
        <v>51</v>
      </c>
      <c r="Z24" s="17" t="s">
        <v>43</v>
      </c>
      <c r="AA24" s="17" t="s">
        <v>60</v>
      </c>
      <c r="AB24" s="17" t="s">
        <v>47</v>
      </c>
      <c r="AC24" s="17" t="s">
        <v>78</v>
      </c>
      <c r="AD24" s="17" t="s">
        <v>84</v>
      </c>
      <c r="AE24" s="17" t="s">
        <v>51</v>
      </c>
    </row>
    <row r="25" ht="15.75" customHeight="1">
      <c r="A25" s="13">
        <v>24.0</v>
      </c>
      <c r="B25" s="25" t="s">
        <v>125</v>
      </c>
      <c r="C25" s="14" t="s">
        <v>43</v>
      </c>
      <c r="D25" s="14" t="s">
        <v>60</v>
      </c>
      <c r="E25" s="14" t="s">
        <v>47</v>
      </c>
      <c r="F25" s="14" t="s">
        <v>78</v>
      </c>
      <c r="G25" s="14" t="s">
        <v>49</v>
      </c>
      <c r="H25" s="15" t="s">
        <v>50</v>
      </c>
      <c r="I25" s="15" t="str">
        <f>TEXT(DATA!$J25,"[$-id-ID]mmmm")</f>
        <v>February</v>
      </c>
      <c r="J25" s="18">
        <v>46056.0</v>
      </c>
      <c r="K25" s="18">
        <v>46056.0</v>
      </c>
      <c r="L25" s="15" t="s">
        <v>64</v>
      </c>
      <c r="M25" s="15" t="s">
        <v>52</v>
      </c>
      <c r="N25" s="15" t="s">
        <v>43</v>
      </c>
      <c r="O25" s="15" t="s">
        <v>60</v>
      </c>
      <c r="P25" s="15" t="s">
        <v>47</v>
      </c>
      <c r="Q25" s="15" t="s">
        <v>78</v>
      </c>
      <c r="R25" s="15" t="s">
        <v>49</v>
      </c>
      <c r="S25" s="15" t="s">
        <v>64</v>
      </c>
      <c r="T25" s="15" t="s">
        <v>43</v>
      </c>
      <c r="U25" s="15" t="s">
        <v>60</v>
      </c>
      <c r="V25" s="15" t="s">
        <v>47</v>
      </c>
      <c r="W25" s="17" t="s">
        <v>78</v>
      </c>
      <c r="X25" s="17" t="s">
        <v>49</v>
      </c>
      <c r="Y25" s="17" t="s">
        <v>64</v>
      </c>
      <c r="Z25" s="17" t="s">
        <v>43</v>
      </c>
      <c r="AA25" s="17" t="s">
        <v>60</v>
      </c>
      <c r="AB25" s="17" t="s">
        <v>47</v>
      </c>
      <c r="AC25" s="17" t="s">
        <v>78</v>
      </c>
      <c r="AD25" s="17" t="s">
        <v>49</v>
      </c>
      <c r="AE25" s="17" t="s">
        <v>64</v>
      </c>
    </row>
    <row r="26" ht="15.75" customHeight="1">
      <c r="A26" s="13">
        <v>25.0</v>
      </c>
      <c r="B26" s="26" t="s">
        <v>126</v>
      </c>
      <c r="C26" s="26" t="s">
        <v>41</v>
      </c>
      <c r="D26" s="26" t="s">
        <v>41</v>
      </c>
      <c r="E26" s="26"/>
      <c r="F26" s="14"/>
      <c r="G26" s="14" t="s">
        <v>127</v>
      </c>
      <c r="H26" s="15" t="s">
        <v>50</v>
      </c>
      <c r="I26" s="15" t="str">
        <f>TEXT(DATA!$J26,"[$-id-ID]mmmm")</f>
        <v>February</v>
      </c>
      <c r="J26" s="18">
        <v>46062.0</v>
      </c>
      <c r="K26" s="18">
        <v>46066.0</v>
      </c>
      <c r="L26" s="15" t="s">
        <v>51</v>
      </c>
      <c r="M26" s="15" t="s">
        <v>52</v>
      </c>
      <c r="N26" s="15"/>
      <c r="O26" s="15" t="s">
        <v>41</v>
      </c>
      <c r="P26" s="15"/>
      <c r="Q26" s="15"/>
      <c r="R26" s="15" t="s">
        <v>127</v>
      </c>
      <c r="S26" s="15" t="s">
        <v>51</v>
      </c>
      <c r="T26" s="15" t="s">
        <v>41</v>
      </c>
      <c r="U26" s="15" t="s">
        <v>41</v>
      </c>
      <c r="V26" s="15"/>
      <c r="W26" s="17"/>
      <c r="X26" s="17" t="s">
        <v>127</v>
      </c>
      <c r="Y26" s="17" t="s">
        <v>51</v>
      </c>
      <c r="Z26" s="17" t="s">
        <v>41</v>
      </c>
      <c r="AA26" s="17" t="s">
        <v>41</v>
      </c>
      <c r="AB26" s="17"/>
      <c r="AC26" s="17"/>
      <c r="AD26" s="17" t="s">
        <v>127</v>
      </c>
      <c r="AE26" s="17" t="s">
        <v>51</v>
      </c>
    </row>
    <row r="27" ht="15.75" customHeight="1">
      <c r="A27" s="13">
        <v>26.0</v>
      </c>
      <c r="B27" s="14" t="s">
        <v>128</v>
      </c>
      <c r="C27" s="14" t="s">
        <v>43</v>
      </c>
      <c r="D27" s="14" t="s">
        <v>60</v>
      </c>
      <c r="E27" s="14" t="s">
        <v>47</v>
      </c>
      <c r="F27" s="14" t="s">
        <v>78</v>
      </c>
      <c r="G27" s="14" t="s">
        <v>122</v>
      </c>
      <c r="H27" s="15" t="s">
        <v>50</v>
      </c>
      <c r="I27" s="15" t="str">
        <f>TEXT(DATA!$J27,"[$-id-ID]mmmm")</f>
        <v>February</v>
      </c>
      <c r="J27" s="18">
        <v>46062.0</v>
      </c>
      <c r="K27" s="18">
        <v>46066.0</v>
      </c>
      <c r="L27" s="15" t="s">
        <v>64</v>
      </c>
      <c r="M27" s="15" t="s">
        <v>52</v>
      </c>
      <c r="N27" s="15" t="s">
        <v>43</v>
      </c>
      <c r="O27" s="15" t="s">
        <v>60</v>
      </c>
      <c r="P27" s="15" t="s">
        <v>47</v>
      </c>
      <c r="Q27" s="15" t="s">
        <v>78</v>
      </c>
      <c r="R27" s="15" t="s">
        <v>122</v>
      </c>
      <c r="S27" s="15" t="s">
        <v>64</v>
      </c>
      <c r="T27" s="15" t="s">
        <v>43</v>
      </c>
      <c r="U27" s="15" t="s">
        <v>60</v>
      </c>
      <c r="V27" s="15" t="s">
        <v>47</v>
      </c>
      <c r="W27" s="17" t="s">
        <v>78</v>
      </c>
      <c r="X27" s="17" t="s">
        <v>122</v>
      </c>
      <c r="Y27" s="17" t="s">
        <v>64</v>
      </c>
      <c r="Z27" s="17" t="s">
        <v>43</v>
      </c>
      <c r="AA27" s="17" t="s">
        <v>60</v>
      </c>
      <c r="AB27" s="17" t="s">
        <v>47</v>
      </c>
      <c r="AC27" s="17" t="s">
        <v>78</v>
      </c>
      <c r="AD27" s="17" t="s">
        <v>122</v>
      </c>
      <c r="AE27" s="17" t="s">
        <v>64</v>
      </c>
    </row>
    <row r="28" ht="15.75" customHeight="1">
      <c r="A28" s="13">
        <v>27.0</v>
      </c>
      <c r="B28" s="14" t="s">
        <v>129</v>
      </c>
      <c r="C28" s="14" t="s">
        <v>41</v>
      </c>
      <c r="D28" s="14" t="s">
        <v>41</v>
      </c>
      <c r="E28" s="14" t="s">
        <v>47</v>
      </c>
      <c r="F28" s="14" t="s">
        <v>63</v>
      </c>
      <c r="G28" s="14" t="s">
        <v>130</v>
      </c>
      <c r="H28" s="15" t="s">
        <v>50</v>
      </c>
      <c r="I28" s="15" t="str">
        <f>TEXT(DATA!$J28,"[$-id-ID]mmmm")</f>
        <v>February</v>
      </c>
      <c r="J28" s="18">
        <v>46062.0</v>
      </c>
      <c r="K28" s="18">
        <v>46066.0</v>
      </c>
      <c r="L28" s="15" t="s">
        <v>51</v>
      </c>
      <c r="M28" s="15" t="s">
        <v>52</v>
      </c>
      <c r="N28" s="15"/>
      <c r="O28" s="15" t="s">
        <v>41</v>
      </c>
      <c r="P28" s="15" t="s">
        <v>47</v>
      </c>
      <c r="Q28" s="15" t="s">
        <v>63</v>
      </c>
      <c r="R28" s="15" t="s">
        <v>130</v>
      </c>
      <c r="S28" s="15" t="s">
        <v>51</v>
      </c>
      <c r="T28" s="15"/>
      <c r="U28" s="15" t="s">
        <v>41</v>
      </c>
      <c r="V28" s="15" t="s">
        <v>47</v>
      </c>
      <c r="W28" s="17" t="s">
        <v>63</v>
      </c>
      <c r="X28" s="17" t="s">
        <v>130</v>
      </c>
      <c r="Y28" s="17" t="s">
        <v>51</v>
      </c>
      <c r="Z28" s="17"/>
      <c r="AA28" s="17" t="s">
        <v>41</v>
      </c>
      <c r="AB28" s="17" t="s">
        <v>47</v>
      </c>
      <c r="AC28" s="17" t="s">
        <v>63</v>
      </c>
      <c r="AD28" s="17" t="s">
        <v>130</v>
      </c>
      <c r="AE28" s="17" t="s">
        <v>51</v>
      </c>
    </row>
    <row r="29" ht="15.75" customHeight="1">
      <c r="A29" s="13">
        <v>28.0</v>
      </c>
      <c r="B29" s="26" t="s">
        <v>131</v>
      </c>
      <c r="C29" s="26" t="s">
        <v>41</v>
      </c>
      <c r="D29" s="26" t="s">
        <v>41</v>
      </c>
      <c r="E29" s="26" t="s">
        <v>47</v>
      </c>
      <c r="F29" s="14" t="s">
        <v>63</v>
      </c>
      <c r="G29" s="14" t="s">
        <v>130</v>
      </c>
      <c r="H29" s="15" t="s">
        <v>50</v>
      </c>
      <c r="I29" s="15" t="str">
        <f>TEXT(DATA!$J29,"[$-id-ID]mmmm")</f>
        <v>February</v>
      </c>
      <c r="J29" s="18">
        <v>46062.0</v>
      </c>
      <c r="K29" s="18">
        <v>46073.0</v>
      </c>
      <c r="L29" s="15" t="s">
        <v>51</v>
      </c>
      <c r="M29" s="15" t="s">
        <v>52</v>
      </c>
      <c r="N29" s="15"/>
      <c r="O29" s="15"/>
      <c r="P29" s="15" t="s">
        <v>47</v>
      </c>
      <c r="Q29" s="15" t="s">
        <v>63</v>
      </c>
      <c r="R29" s="15" t="s">
        <v>130</v>
      </c>
      <c r="S29" s="15" t="s">
        <v>51</v>
      </c>
      <c r="T29" s="15" t="s">
        <v>41</v>
      </c>
      <c r="U29" s="15" t="s">
        <v>41</v>
      </c>
      <c r="V29" s="15" t="s">
        <v>47</v>
      </c>
      <c r="W29" s="17" t="s">
        <v>63</v>
      </c>
      <c r="X29" s="17" t="s">
        <v>130</v>
      </c>
      <c r="Y29" s="17" t="s">
        <v>51</v>
      </c>
      <c r="Z29" s="17" t="s">
        <v>41</v>
      </c>
      <c r="AA29" s="17" t="s">
        <v>41</v>
      </c>
      <c r="AB29" s="17" t="s">
        <v>47</v>
      </c>
      <c r="AC29" s="17" t="s">
        <v>63</v>
      </c>
      <c r="AD29" s="17" t="s">
        <v>130</v>
      </c>
      <c r="AE29" s="17" t="s">
        <v>51</v>
      </c>
    </row>
    <row r="30" ht="15.75" customHeight="1">
      <c r="A30" s="13">
        <v>29.0</v>
      </c>
      <c r="B30" s="14" t="s">
        <v>132</v>
      </c>
      <c r="C30" s="14" t="s">
        <v>43</v>
      </c>
      <c r="D30" s="14" t="s">
        <v>60</v>
      </c>
      <c r="E30" s="14" t="s">
        <v>47</v>
      </c>
      <c r="F30" s="14" t="s">
        <v>78</v>
      </c>
      <c r="G30" s="14" t="s">
        <v>130</v>
      </c>
      <c r="H30" s="15" t="s">
        <v>50</v>
      </c>
      <c r="I30" s="15" t="str">
        <f>TEXT(DATA!$J30,"[$-id-ID]mmmm")</f>
        <v>February</v>
      </c>
      <c r="J30" s="18">
        <v>46071.0</v>
      </c>
      <c r="K30" s="18">
        <v>46073.0</v>
      </c>
      <c r="L30" s="15" t="s">
        <v>51</v>
      </c>
      <c r="M30" s="15" t="s">
        <v>52</v>
      </c>
      <c r="N30" s="15" t="s">
        <v>43</v>
      </c>
      <c r="O30" s="15" t="s">
        <v>60</v>
      </c>
      <c r="P30" s="15" t="s">
        <v>47</v>
      </c>
      <c r="Q30" s="15" t="s">
        <v>78</v>
      </c>
      <c r="R30" s="15" t="s">
        <v>130</v>
      </c>
      <c r="S30" s="15" t="s">
        <v>51</v>
      </c>
      <c r="T30" s="15" t="s">
        <v>43</v>
      </c>
      <c r="U30" s="15" t="s">
        <v>60</v>
      </c>
      <c r="V30" s="15" t="s">
        <v>47</v>
      </c>
      <c r="W30" s="17" t="s">
        <v>78</v>
      </c>
      <c r="X30" s="17" t="s">
        <v>130</v>
      </c>
      <c r="Y30" s="17" t="s">
        <v>51</v>
      </c>
      <c r="Z30" s="17" t="s">
        <v>43</v>
      </c>
      <c r="AA30" s="17" t="s">
        <v>60</v>
      </c>
      <c r="AB30" s="17" t="s">
        <v>47</v>
      </c>
      <c r="AC30" s="17" t="s">
        <v>78</v>
      </c>
      <c r="AD30" s="17" t="s">
        <v>130</v>
      </c>
      <c r="AE30" s="17" t="s">
        <v>51</v>
      </c>
    </row>
    <row r="31" ht="15.75" customHeight="1">
      <c r="A31" s="19">
        <v>30.0</v>
      </c>
      <c r="B31" s="27" t="s">
        <v>133</v>
      </c>
      <c r="C31" s="28"/>
      <c r="D31" s="28"/>
      <c r="E31" s="28"/>
      <c r="F31" s="29"/>
      <c r="G31" s="29"/>
      <c r="H31" s="29"/>
      <c r="I31" s="29"/>
      <c r="J31" s="30"/>
      <c r="K31" s="30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2"/>
      <c r="X31" s="32"/>
      <c r="Y31" s="32"/>
      <c r="Z31" s="32"/>
      <c r="AA31" s="32"/>
      <c r="AB31" s="32"/>
      <c r="AC31" s="32"/>
      <c r="AD31" s="32"/>
      <c r="AE31" s="32"/>
    </row>
    <row r="32" ht="15.75" customHeight="1">
      <c r="A32" s="19">
        <v>31.0</v>
      </c>
      <c r="B32" s="20" t="s">
        <v>134</v>
      </c>
      <c r="C32" s="21"/>
      <c r="D32" s="21"/>
      <c r="E32" s="21"/>
      <c r="F32" s="22"/>
      <c r="G32" s="22"/>
      <c r="H32" s="22"/>
      <c r="I32" s="22"/>
      <c r="J32" s="23"/>
      <c r="K32" s="23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17"/>
      <c r="X32" s="17"/>
      <c r="Y32" s="17"/>
      <c r="Z32" s="17"/>
      <c r="AA32" s="17"/>
      <c r="AB32" s="17"/>
      <c r="AC32" s="17"/>
      <c r="AD32" s="17"/>
      <c r="AE32" s="17"/>
    </row>
    <row r="33" ht="15.75" customHeight="1">
      <c r="A33" s="13">
        <v>32.0</v>
      </c>
      <c r="B33" s="25" t="s">
        <v>135</v>
      </c>
      <c r="C33" s="25" t="s">
        <v>115</v>
      </c>
      <c r="D33" s="14" t="s">
        <v>46</v>
      </c>
      <c r="E33" s="25" t="s">
        <v>47</v>
      </c>
      <c r="F33" s="14" t="s">
        <v>116</v>
      </c>
      <c r="G33" s="14" t="s">
        <v>68</v>
      </c>
      <c r="H33" s="15" t="s">
        <v>50</v>
      </c>
      <c r="I33" s="15" t="str">
        <f>TEXT(DATA!$J33,"[$-id-ID]mmmm")</f>
        <v>February</v>
      </c>
      <c r="J33" s="18">
        <v>46076.0</v>
      </c>
      <c r="K33" s="18">
        <v>46080.0</v>
      </c>
      <c r="L33" s="15" t="s">
        <v>64</v>
      </c>
      <c r="M33" s="15" t="s">
        <v>52</v>
      </c>
      <c r="N33" s="15" t="s">
        <v>41</v>
      </c>
      <c r="O33" s="15" t="s">
        <v>46</v>
      </c>
      <c r="P33" s="15" t="s">
        <v>47</v>
      </c>
      <c r="Q33" s="15" t="s">
        <v>116</v>
      </c>
      <c r="R33" s="15" t="s">
        <v>68</v>
      </c>
      <c r="S33" s="15" t="s">
        <v>64</v>
      </c>
      <c r="T33" s="15" t="s">
        <v>41</v>
      </c>
      <c r="U33" s="15" t="s">
        <v>46</v>
      </c>
      <c r="V33" s="15" t="s">
        <v>47</v>
      </c>
      <c r="W33" s="17" t="s">
        <v>116</v>
      </c>
      <c r="X33" s="17" t="s">
        <v>68</v>
      </c>
      <c r="Y33" s="17" t="s">
        <v>64</v>
      </c>
      <c r="Z33" s="17" t="s">
        <v>41</v>
      </c>
      <c r="AA33" s="17" t="s">
        <v>46</v>
      </c>
      <c r="AB33" s="17" t="s">
        <v>47</v>
      </c>
      <c r="AC33" s="17" t="s">
        <v>116</v>
      </c>
      <c r="AD33" s="17" t="s">
        <v>68</v>
      </c>
      <c r="AE33" s="17" t="s">
        <v>64</v>
      </c>
    </row>
    <row r="34" ht="15.75" customHeight="1">
      <c r="A34" s="13">
        <v>33.0</v>
      </c>
      <c r="B34" s="25" t="s">
        <v>136</v>
      </c>
      <c r="C34" s="25" t="s">
        <v>137</v>
      </c>
      <c r="D34" s="14" t="s">
        <v>46</v>
      </c>
      <c r="E34" s="25" t="s">
        <v>47</v>
      </c>
      <c r="F34" s="14" t="s">
        <v>63</v>
      </c>
      <c r="G34" s="14" t="s">
        <v>68</v>
      </c>
      <c r="H34" s="15" t="s">
        <v>50</v>
      </c>
      <c r="I34" s="15" t="str">
        <f>TEXT(DATA!$J34,"[$-id-ID]mmmm")</f>
        <v>February</v>
      </c>
      <c r="J34" s="18">
        <v>46076.0</v>
      </c>
      <c r="K34" s="18">
        <v>46080.0</v>
      </c>
      <c r="L34" s="15" t="s">
        <v>64</v>
      </c>
      <c r="M34" s="15" t="s">
        <v>52</v>
      </c>
      <c r="N34" s="15" t="s">
        <v>41</v>
      </c>
      <c r="O34" s="15" t="s">
        <v>46</v>
      </c>
      <c r="P34" s="15" t="s">
        <v>47</v>
      </c>
      <c r="Q34" s="15" t="s">
        <v>63</v>
      </c>
      <c r="R34" s="15" t="s">
        <v>68</v>
      </c>
      <c r="S34" s="15" t="s">
        <v>64</v>
      </c>
      <c r="T34" s="15" t="s">
        <v>41</v>
      </c>
      <c r="U34" s="15" t="s">
        <v>46</v>
      </c>
      <c r="V34" s="15" t="s">
        <v>47</v>
      </c>
      <c r="W34" s="17" t="s">
        <v>63</v>
      </c>
      <c r="X34" s="17" t="s">
        <v>68</v>
      </c>
      <c r="Y34" s="17" t="s">
        <v>64</v>
      </c>
      <c r="Z34" s="17" t="s">
        <v>41</v>
      </c>
      <c r="AA34" s="17" t="s">
        <v>46</v>
      </c>
      <c r="AB34" s="17" t="s">
        <v>47</v>
      </c>
      <c r="AC34" s="17" t="s">
        <v>63</v>
      </c>
      <c r="AD34" s="17" t="s">
        <v>68</v>
      </c>
      <c r="AE34" s="17" t="s">
        <v>64</v>
      </c>
    </row>
    <row r="35" ht="15.75" customHeight="1">
      <c r="A35" s="13">
        <v>34.0</v>
      </c>
      <c r="B35" s="26" t="s">
        <v>138</v>
      </c>
      <c r="C35" s="25" t="s">
        <v>115</v>
      </c>
      <c r="D35" s="14" t="s">
        <v>46</v>
      </c>
      <c r="E35" s="25" t="s">
        <v>47</v>
      </c>
      <c r="F35" s="14" t="s">
        <v>116</v>
      </c>
      <c r="G35" s="14" t="s">
        <v>84</v>
      </c>
      <c r="H35" s="15" t="s">
        <v>50</v>
      </c>
      <c r="I35" s="15" t="str">
        <f>TEXT(DATA!$J35,"[$-id-ID]mmmm")</f>
        <v>March</v>
      </c>
      <c r="J35" s="33">
        <v>46083.0</v>
      </c>
      <c r="K35" s="33">
        <v>46087.0</v>
      </c>
      <c r="L35" s="15" t="s">
        <v>64</v>
      </c>
      <c r="M35" s="15" t="s">
        <v>52</v>
      </c>
      <c r="N35" s="15" t="s">
        <v>41</v>
      </c>
      <c r="O35" s="15" t="s">
        <v>46</v>
      </c>
      <c r="P35" s="15" t="s">
        <v>47</v>
      </c>
      <c r="Q35" s="15" t="s">
        <v>116</v>
      </c>
      <c r="R35" s="15" t="s">
        <v>84</v>
      </c>
      <c r="S35" s="15" t="s">
        <v>64</v>
      </c>
      <c r="T35" s="15" t="s">
        <v>41</v>
      </c>
      <c r="U35" s="15" t="s">
        <v>46</v>
      </c>
      <c r="V35" s="15" t="s">
        <v>47</v>
      </c>
      <c r="W35" s="17" t="s">
        <v>116</v>
      </c>
      <c r="X35" s="17" t="s">
        <v>84</v>
      </c>
      <c r="Y35" s="17" t="s">
        <v>64</v>
      </c>
      <c r="Z35" s="17" t="s">
        <v>41</v>
      </c>
      <c r="AA35" s="17" t="s">
        <v>46</v>
      </c>
      <c r="AB35" s="17" t="s">
        <v>47</v>
      </c>
      <c r="AC35" s="17" t="s">
        <v>116</v>
      </c>
      <c r="AD35" s="17" t="s">
        <v>84</v>
      </c>
      <c r="AE35" s="17" t="s">
        <v>64</v>
      </c>
    </row>
    <row r="36" ht="15.75" customHeight="1">
      <c r="A36" s="13">
        <v>35.0</v>
      </c>
      <c r="B36" s="25" t="s">
        <v>139</v>
      </c>
      <c r="C36" s="25" t="s">
        <v>107</v>
      </c>
      <c r="D36" s="14" t="s">
        <v>108</v>
      </c>
      <c r="E36" s="14"/>
      <c r="F36" s="14" t="s">
        <v>63</v>
      </c>
      <c r="G36" s="14" t="s">
        <v>68</v>
      </c>
      <c r="H36" s="15" t="s">
        <v>50</v>
      </c>
      <c r="I36" s="15" t="str">
        <f>TEXT(DATA!$J36,"[$-id-ID]mmmm")</f>
        <v>March</v>
      </c>
      <c r="J36" s="18">
        <v>46083.0</v>
      </c>
      <c r="K36" s="18">
        <v>46087.0</v>
      </c>
      <c r="L36" s="15" t="s">
        <v>51</v>
      </c>
      <c r="M36" s="15" t="s">
        <v>52</v>
      </c>
      <c r="N36" s="15" t="s">
        <v>41</v>
      </c>
      <c r="O36" s="15" t="s">
        <v>108</v>
      </c>
      <c r="P36" s="15"/>
      <c r="Q36" s="15" t="s">
        <v>63</v>
      </c>
      <c r="R36" s="15" t="s">
        <v>68</v>
      </c>
      <c r="S36" s="15" t="s">
        <v>51</v>
      </c>
      <c r="T36" s="15" t="s">
        <v>41</v>
      </c>
      <c r="U36" s="15" t="s">
        <v>108</v>
      </c>
      <c r="V36" s="15"/>
      <c r="W36" s="17" t="s">
        <v>63</v>
      </c>
      <c r="X36" s="17" t="s">
        <v>68</v>
      </c>
      <c r="Y36" s="17" t="s">
        <v>51</v>
      </c>
      <c r="Z36" s="17" t="s">
        <v>41</v>
      </c>
      <c r="AA36" s="17" t="s">
        <v>108</v>
      </c>
      <c r="AB36" s="17"/>
      <c r="AC36" s="17" t="s">
        <v>63</v>
      </c>
      <c r="AD36" s="17" t="s">
        <v>68</v>
      </c>
      <c r="AE36" s="17" t="s">
        <v>51</v>
      </c>
    </row>
    <row r="37" ht="15.75" customHeight="1">
      <c r="A37" s="34">
        <v>36.0</v>
      </c>
      <c r="B37" s="26" t="s">
        <v>140</v>
      </c>
      <c r="C37" s="26" t="s">
        <v>67</v>
      </c>
      <c r="D37" s="26" t="s">
        <v>60</v>
      </c>
      <c r="E37" s="26" t="s">
        <v>47</v>
      </c>
      <c r="F37" s="26" t="s">
        <v>63</v>
      </c>
      <c r="G37" s="26" t="s">
        <v>84</v>
      </c>
      <c r="H37" s="35" t="s">
        <v>50</v>
      </c>
      <c r="I37" s="35" t="str">
        <f>TEXT(DATA!$J37,"[$-id-ID]mmmm")</f>
        <v>March</v>
      </c>
      <c r="J37" s="33">
        <v>46090.0</v>
      </c>
      <c r="K37" s="33">
        <v>46094.0</v>
      </c>
      <c r="L37" s="35" t="s">
        <v>51</v>
      </c>
      <c r="M37" s="35" t="s">
        <v>52</v>
      </c>
      <c r="N37" s="15" t="s">
        <v>41</v>
      </c>
      <c r="O37" s="15" t="s">
        <v>60</v>
      </c>
      <c r="P37" s="15" t="s">
        <v>47</v>
      </c>
      <c r="Q37" s="15" t="s">
        <v>63</v>
      </c>
      <c r="R37" s="15" t="s">
        <v>84</v>
      </c>
      <c r="S37" s="15" t="s">
        <v>51</v>
      </c>
      <c r="T37" s="15" t="s">
        <v>41</v>
      </c>
      <c r="U37" s="15" t="s">
        <v>60</v>
      </c>
      <c r="V37" s="15" t="s">
        <v>47</v>
      </c>
      <c r="W37" s="17" t="s">
        <v>63</v>
      </c>
      <c r="X37" s="17" t="s">
        <v>84</v>
      </c>
      <c r="Y37" s="17" t="s">
        <v>51</v>
      </c>
      <c r="Z37" s="17" t="s">
        <v>41</v>
      </c>
      <c r="AA37" s="17" t="s">
        <v>60</v>
      </c>
      <c r="AB37" s="17" t="s">
        <v>47</v>
      </c>
      <c r="AC37" s="17" t="s">
        <v>63</v>
      </c>
      <c r="AD37" s="17" t="s">
        <v>84</v>
      </c>
      <c r="AE37" s="17" t="s">
        <v>51</v>
      </c>
    </row>
    <row r="38" ht="15.75" customHeight="1">
      <c r="A38" s="13">
        <v>37.0</v>
      </c>
      <c r="B38" s="20" t="s">
        <v>141</v>
      </c>
      <c r="C38" s="21"/>
      <c r="D38" s="14"/>
      <c r="E38" s="21"/>
      <c r="F38" s="22"/>
      <c r="G38" s="22"/>
      <c r="H38" s="22"/>
      <c r="I38" s="22"/>
      <c r="J38" s="23"/>
      <c r="K38" s="23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17"/>
      <c r="X38" s="17"/>
      <c r="Y38" s="17"/>
      <c r="Z38" s="17"/>
      <c r="AA38" s="17"/>
      <c r="AB38" s="17"/>
      <c r="AC38" s="17"/>
      <c r="AD38" s="17"/>
      <c r="AE38" s="17"/>
    </row>
    <row r="39" ht="15.75" customHeight="1">
      <c r="A39" s="13">
        <v>38.0</v>
      </c>
      <c r="B39" s="25" t="s">
        <v>142</v>
      </c>
      <c r="C39" s="25" t="s">
        <v>143</v>
      </c>
      <c r="D39" s="14" t="s">
        <v>57</v>
      </c>
      <c r="E39" s="25" t="s">
        <v>47</v>
      </c>
      <c r="F39" s="14" t="s">
        <v>63</v>
      </c>
      <c r="G39" s="14" t="s">
        <v>68</v>
      </c>
      <c r="H39" s="15" t="s">
        <v>86</v>
      </c>
      <c r="I39" s="15" t="str">
        <f>TEXT(DATA!$J39,"[$-id-ID]mmmm")</f>
        <v>April</v>
      </c>
      <c r="J39" s="18">
        <v>46125.0</v>
      </c>
      <c r="K39" s="18">
        <v>46129.0</v>
      </c>
      <c r="L39" s="15" t="s">
        <v>51</v>
      </c>
      <c r="M39" s="15" t="s">
        <v>52</v>
      </c>
      <c r="N39" s="15" t="s">
        <v>41</v>
      </c>
      <c r="O39" s="15" t="s">
        <v>57</v>
      </c>
      <c r="P39" s="15" t="s">
        <v>47</v>
      </c>
      <c r="Q39" s="15" t="s">
        <v>63</v>
      </c>
      <c r="R39" s="15" t="s">
        <v>68</v>
      </c>
      <c r="S39" s="15" t="s">
        <v>51</v>
      </c>
      <c r="T39" s="15" t="s">
        <v>41</v>
      </c>
      <c r="U39" s="15" t="s">
        <v>57</v>
      </c>
      <c r="V39" s="15" t="s">
        <v>47</v>
      </c>
      <c r="W39" s="17" t="s">
        <v>63</v>
      </c>
      <c r="X39" s="17" t="s">
        <v>68</v>
      </c>
      <c r="Y39" s="17" t="s">
        <v>51</v>
      </c>
      <c r="Z39" s="17" t="s">
        <v>41</v>
      </c>
      <c r="AA39" s="17" t="s">
        <v>57</v>
      </c>
      <c r="AB39" s="17" t="s">
        <v>47</v>
      </c>
      <c r="AC39" s="17" t="s">
        <v>63</v>
      </c>
      <c r="AD39" s="17" t="s">
        <v>68</v>
      </c>
      <c r="AE39" s="17" t="s">
        <v>51</v>
      </c>
    </row>
    <row r="40" ht="15.75" customHeight="1">
      <c r="A40" s="13">
        <v>39.0</v>
      </c>
      <c r="B40" s="25" t="s">
        <v>144</v>
      </c>
      <c r="C40" s="25" t="s">
        <v>98</v>
      </c>
      <c r="D40" s="14" t="s">
        <v>56</v>
      </c>
      <c r="E40" s="25" t="s">
        <v>47</v>
      </c>
      <c r="F40" s="14" t="s">
        <v>63</v>
      </c>
      <c r="G40" s="14" t="s">
        <v>68</v>
      </c>
      <c r="H40" s="15" t="s">
        <v>86</v>
      </c>
      <c r="I40" s="15" t="str">
        <f>TEXT(DATA!$J40,"[$-id-ID]mmmm")</f>
        <v>April</v>
      </c>
      <c r="J40" s="18">
        <v>46125.0</v>
      </c>
      <c r="K40" s="18">
        <v>46129.0</v>
      </c>
      <c r="L40" s="15" t="s">
        <v>64</v>
      </c>
      <c r="M40" s="15" t="s">
        <v>52</v>
      </c>
      <c r="N40" s="15" t="s">
        <v>41</v>
      </c>
      <c r="O40" s="15" t="s">
        <v>56</v>
      </c>
      <c r="P40" s="15" t="s">
        <v>47</v>
      </c>
      <c r="Q40" s="15" t="s">
        <v>63</v>
      </c>
      <c r="R40" s="15" t="s">
        <v>68</v>
      </c>
      <c r="S40" s="15" t="s">
        <v>64</v>
      </c>
      <c r="T40" s="15" t="s">
        <v>41</v>
      </c>
      <c r="U40" s="15" t="s">
        <v>56</v>
      </c>
      <c r="V40" s="15" t="s">
        <v>47</v>
      </c>
      <c r="W40" s="17" t="s">
        <v>63</v>
      </c>
      <c r="X40" s="17" t="s">
        <v>68</v>
      </c>
      <c r="Y40" s="17" t="s">
        <v>64</v>
      </c>
      <c r="Z40" s="17" t="s">
        <v>41</v>
      </c>
      <c r="AA40" s="17" t="s">
        <v>56</v>
      </c>
      <c r="AB40" s="17" t="s">
        <v>47</v>
      </c>
      <c r="AC40" s="17" t="s">
        <v>63</v>
      </c>
      <c r="AD40" s="17" t="s">
        <v>68</v>
      </c>
      <c r="AE40" s="17" t="s">
        <v>64</v>
      </c>
    </row>
    <row r="41" ht="15.75" customHeight="1">
      <c r="A41" s="13">
        <v>40.0</v>
      </c>
      <c r="B41" s="26" t="s">
        <v>145</v>
      </c>
      <c r="C41" s="26" t="s">
        <v>143</v>
      </c>
      <c r="D41" s="14" t="s">
        <v>57</v>
      </c>
      <c r="E41" s="26" t="s">
        <v>47</v>
      </c>
      <c r="F41" s="14" t="s">
        <v>63</v>
      </c>
      <c r="G41" s="14" t="s">
        <v>84</v>
      </c>
      <c r="H41" s="15" t="s">
        <v>86</v>
      </c>
      <c r="I41" s="15" t="str">
        <f>TEXT(DATA!$J41,"[$-id-ID]mmmm")</f>
        <v>April</v>
      </c>
      <c r="J41" s="18">
        <v>46132.0</v>
      </c>
      <c r="K41" s="18">
        <v>46136.0</v>
      </c>
      <c r="L41" s="15" t="s">
        <v>51</v>
      </c>
      <c r="M41" s="15" t="s">
        <v>52</v>
      </c>
      <c r="N41" s="15" t="s">
        <v>41</v>
      </c>
      <c r="O41" s="15" t="s">
        <v>57</v>
      </c>
      <c r="P41" s="15" t="s">
        <v>47</v>
      </c>
      <c r="Q41" s="15" t="s">
        <v>63</v>
      </c>
      <c r="R41" s="15" t="s">
        <v>84</v>
      </c>
      <c r="S41" s="15" t="s">
        <v>51</v>
      </c>
      <c r="T41" s="15" t="s">
        <v>41</v>
      </c>
      <c r="U41" s="15" t="s">
        <v>57</v>
      </c>
      <c r="V41" s="15" t="s">
        <v>47</v>
      </c>
      <c r="W41" s="17" t="s">
        <v>63</v>
      </c>
      <c r="X41" s="17" t="s">
        <v>84</v>
      </c>
      <c r="Y41" s="17" t="s">
        <v>51</v>
      </c>
      <c r="Z41" s="17" t="s">
        <v>41</v>
      </c>
      <c r="AA41" s="17" t="s">
        <v>57</v>
      </c>
      <c r="AB41" s="17" t="s">
        <v>47</v>
      </c>
      <c r="AC41" s="17" t="s">
        <v>63</v>
      </c>
      <c r="AD41" s="17" t="s">
        <v>84</v>
      </c>
      <c r="AE41" s="17" t="s">
        <v>51</v>
      </c>
    </row>
    <row r="42" ht="15.75" customHeight="1">
      <c r="A42" s="13">
        <v>41.0</v>
      </c>
      <c r="B42" s="25" t="s">
        <v>146</v>
      </c>
      <c r="C42" s="25" t="s">
        <v>41</v>
      </c>
      <c r="D42" s="14" t="s">
        <v>41</v>
      </c>
      <c r="E42" s="25" t="s">
        <v>71</v>
      </c>
      <c r="F42" s="14" t="s">
        <v>77</v>
      </c>
      <c r="G42" s="14" t="s">
        <v>68</v>
      </c>
      <c r="H42" s="15" t="s">
        <v>86</v>
      </c>
      <c r="I42" s="15" t="str">
        <f>TEXT(DATA!$J42,"[$-id-ID]mmmm")</f>
        <v>April</v>
      </c>
      <c r="J42" s="18">
        <v>46132.0</v>
      </c>
      <c r="K42" s="18">
        <v>46136.0</v>
      </c>
      <c r="L42" s="15" t="s">
        <v>51</v>
      </c>
      <c r="M42" s="15" t="s">
        <v>52</v>
      </c>
      <c r="N42" s="15" t="s">
        <v>41</v>
      </c>
      <c r="O42" s="15" t="s">
        <v>41</v>
      </c>
      <c r="P42" s="15" t="s">
        <v>71</v>
      </c>
      <c r="Q42" s="15" t="s">
        <v>77</v>
      </c>
      <c r="R42" s="15" t="s">
        <v>68</v>
      </c>
      <c r="S42" s="15" t="s">
        <v>51</v>
      </c>
      <c r="T42" s="15" t="s">
        <v>41</v>
      </c>
      <c r="U42" s="15" t="s">
        <v>41</v>
      </c>
      <c r="V42" s="15" t="s">
        <v>71</v>
      </c>
      <c r="W42" s="17" t="s">
        <v>77</v>
      </c>
      <c r="X42" s="17" t="s">
        <v>68</v>
      </c>
      <c r="Y42" s="17" t="s">
        <v>51</v>
      </c>
      <c r="Z42" s="17" t="s">
        <v>41</v>
      </c>
      <c r="AA42" s="17" t="s">
        <v>41</v>
      </c>
      <c r="AB42" s="17" t="s">
        <v>71</v>
      </c>
      <c r="AC42" s="17" t="s">
        <v>77</v>
      </c>
      <c r="AD42" s="17" t="s">
        <v>68</v>
      </c>
      <c r="AE42" s="17" t="s">
        <v>51</v>
      </c>
    </row>
    <row r="43" ht="15.75" customHeight="1">
      <c r="A43" s="13">
        <v>42.0</v>
      </c>
      <c r="B43" s="26" t="s">
        <v>147</v>
      </c>
      <c r="C43" s="26" t="s">
        <v>41</v>
      </c>
      <c r="D43" s="14"/>
      <c r="E43" s="26" t="s">
        <v>71</v>
      </c>
      <c r="F43" s="14" t="s">
        <v>77</v>
      </c>
      <c r="G43" s="14" t="s">
        <v>84</v>
      </c>
      <c r="H43" s="15" t="s">
        <v>86</v>
      </c>
      <c r="I43" s="15" t="str">
        <f>TEXT(DATA!$J43,"[$-id-ID]mmmm")</f>
        <v>April</v>
      </c>
      <c r="J43" s="18">
        <v>46132.0</v>
      </c>
      <c r="K43" s="18">
        <v>46140.0</v>
      </c>
      <c r="L43" s="15" t="s">
        <v>51</v>
      </c>
      <c r="M43" s="15" t="s">
        <v>52</v>
      </c>
      <c r="N43" s="15" t="s">
        <v>41</v>
      </c>
      <c r="O43" s="15"/>
      <c r="P43" s="15" t="s">
        <v>71</v>
      </c>
      <c r="Q43" s="15" t="s">
        <v>77</v>
      </c>
      <c r="R43" s="15" t="s">
        <v>84</v>
      </c>
      <c r="S43" s="15" t="s">
        <v>51</v>
      </c>
      <c r="T43" s="15" t="s">
        <v>41</v>
      </c>
      <c r="U43" s="15"/>
      <c r="V43" s="15" t="s">
        <v>71</v>
      </c>
      <c r="W43" s="17" t="s">
        <v>77</v>
      </c>
      <c r="X43" s="17" t="s">
        <v>84</v>
      </c>
      <c r="Y43" s="17" t="s">
        <v>51</v>
      </c>
      <c r="Z43" s="17" t="s">
        <v>41</v>
      </c>
      <c r="AA43" s="17"/>
      <c r="AB43" s="17" t="s">
        <v>71</v>
      </c>
      <c r="AC43" s="17" t="s">
        <v>77</v>
      </c>
      <c r="AD43" s="17" t="s">
        <v>84</v>
      </c>
      <c r="AE43" s="17" t="s">
        <v>51</v>
      </c>
    </row>
    <row r="44" ht="15.75" customHeight="1">
      <c r="A44" s="13">
        <v>43.0</v>
      </c>
      <c r="B44" s="25" t="s">
        <v>148</v>
      </c>
      <c r="C44" s="14" t="s">
        <v>149</v>
      </c>
      <c r="D44" s="14" t="s">
        <v>60</v>
      </c>
      <c r="E44" s="14" t="s">
        <v>70</v>
      </c>
      <c r="F44" s="14" t="s">
        <v>79</v>
      </c>
      <c r="G44" s="14" t="s">
        <v>68</v>
      </c>
      <c r="H44" s="15" t="s">
        <v>86</v>
      </c>
      <c r="I44" s="15" t="str">
        <f>TEXT(DATA!$J44,"[$-id-ID]mmmm")</f>
        <v>April</v>
      </c>
      <c r="J44" s="18">
        <v>46132.0</v>
      </c>
      <c r="K44" s="18">
        <v>46140.0</v>
      </c>
      <c r="L44" s="15" t="s">
        <v>64</v>
      </c>
      <c r="M44" s="15" t="s">
        <v>52</v>
      </c>
      <c r="N44" s="15" t="s">
        <v>41</v>
      </c>
      <c r="O44" s="15" t="s">
        <v>60</v>
      </c>
      <c r="P44" s="15" t="s">
        <v>70</v>
      </c>
      <c r="Q44" s="15" t="s">
        <v>79</v>
      </c>
      <c r="R44" s="15" t="s">
        <v>68</v>
      </c>
      <c r="S44" s="15" t="s">
        <v>64</v>
      </c>
      <c r="T44" s="15" t="s">
        <v>41</v>
      </c>
      <c r="U44" s="15" t="s">
        <v>60</v>
      </c>
      <c r="V44" s="15" t="s">
        <v>70</v>
      </c>
      <c r="W44" s="17" t="s">
        <v>79</v>
      </c>
      <c r="X44" s="17" t="s">
        <v>68</v>
      </c>
      <c r="Y44" s="17" t="s">
        <v>64</v>
      </c>
      <c r="Z44" s="17" t="s">
        <v>41</v>
      </c>
      <c r="AA44" s="17" t="s">
        <v>60</v>
      </c>
      <c r="AB44" s="17" t="s">
        <v>70</v>
      </c>
      <c r="AC44" s="17" t="s">
        <v>79</v>
      </c>
      <c r="AD44" s="17" t="s">
        <v>68</v>
      </c>
      <c r="AE44" s="17" t="s">
        <v>64</v>
      </c>
    </row>
    <row r="45" ht="15.75" customHeight="1">
      <c r="A45" s="13">
        <v>44.0</v>
      </c>
      <c r="B45" s="25" t="s">
        <v>150</v>
      </c>
      <c r="C45" s="25" t="s">
        <v>44</v>
      </c>
      <c r="D45" s="14" t="s">
        <v>59</v>
      </c>
      <c r="E45" s="25" t="s">
        <v>47</v>
      </c>
      <c r="F45" s="14" t="s">
        <v>63</v>
      </c>
      <c r="G45" s="14" t="s">
        <v>68</v>
      </c>
      <c r="H45" s="15" t="s">
        <v>86</v>
      </c>
      <c r="I45" s="15" t="str">
        <f>TEXT(DATA!$J45,"[$-id-ID]mmmm")</f>
        <v>April</v>
      </c>
      <c r="J45" s="36">
        <v>46139.0</v>
      </c>
      <c r="K45" s="36">
        <v>46142.0</v>
      </c>
      <c r="L45" s="15" t="s">
        <v>64</v>
      </c>
      <c r="M45" s="15" t="s">
        <v>52</v>
      </c>
      <c r="N45" s="15" t="s">
        <v>44</v>
      </c>
      <c r="O45" s="15" t="s">
        <v>59</v>
      </c>
      <c r="P45" s="15" t="s">
        <v>47</v>
      </c>
      <c r="Q45" s="15" t="s">
        <v>63</v>
      </c>
      <c r="R45" s="15" t="s">
        <v>68</v>
      </c>
      <c r="S45" s="15" t="s">
        <v>64</v>
      </c>
      <c r="T45" s="15" t="s">
        <v>44</v>
      </c>
      <c r="U45" s="15" t="s">
        <v>59</v>
      </c>
      <c r="V45" s="15" t="s">
        <v>47</v>
      </c>
      <c r="W45" s="17" t="s">
        <v>63</v>
      </c>
      <c r="X45" s="17" t="s">
        <v>68</v>
      </c>
      <c r="Y45" s="17" t="s">
        <v>64</v>
      </c>
      <c r="Z45" s="17" t="s">
        <v>44</v>
      </c>
      <c r="AA45" s="17" t="s">
        <v>59</v>
      </c>
      <c r="AB45" s="17" t="s">
        <v>47</v>
      </c>
      <c r="AC45" s="17" t="s">
        <v>63</v>
      </c>
      <c r="AD45" s="17" t="s">
        <v>68</v>
      </c>
      <c r="AE45" s="17" t="s">
        <v>64</v>
      </c>
    </row>
    <row r="46" ht="15.75" customHeight="1">
      <c r="A46" s="13">
        <v>45.0</v>
      </c>
      <c r="B46" s="26" t="s">
        <v>151</v>
      </c>
      <c r="C46" s="37" t="s">
        <v>152</v>
      </c>
      <c r="D46" s="38" t="s">
        <v>55</v>
      </c>
      <c r="E46" s="37" t="s">
        <v>70</v>
      </c>
      <c r="F46" s="38" t="s">
        <v>79</v>
      </c>
      <c r="G46" s="14" t="s">
        <v>84</v>
      </c>
      <c r="H46" s="15" t="s">
        <v>86</v>
      </c>
      <c r="I46" s="39" t="str">
        <f>TEXT(DATA!$J46,"[$-id-ID]mmmm")</f>
        <v>April</v>
      </c>
      <c r="J46" s="40">
        <v>46140.0</v>
      </c>
      <c r="K46" s="16">
        <v>46147.0</v>
      </c>
      <c r="L46" s="15" t="s">
        <v>64</v>
      </c>
      <c r="M46" s="15" t="s">
        <v>52</v>
      </c>
      <c r="N46" s="15" t="s">
        <v>41</v>
      </c>
      <c r="O46" s="15" t="s">
        <v>55</v>
      </c>
      <c r="P46" s="15" t="s">
        <v>70</v>
      </c>
      <c r="Q46" s="15" t="s">
        <v>79</v>
      </c>
      <c r="R46" s="15" t="s">
        <v>84</v>
      </c>
      <c r="S46" s="15" t="s">
        <v>64</v>
      </c>
      <c r="T46" s="15" t="s">
        <v>41</v>
      </c>
      <c r="U46" s="15" t="s">
        <v>55</v>
      </c>
      <c r="V46" s="15" t="s">
        <v>70</v>
      </c>
      <c r="W46" s="17" t="s">
        <v>79</v>
      </c>
      <c r="X46" s="17" t="s">
        <v>84</v>
      </c>
      <c r="Y46" s="17" t="s">
        <v>64</v>
      </c>
      <c r="Z46" s="17" t="s">
        <v>41</v>
      </c>
      <c r="AA46" s="17" t="s">
        <v>55</v>
      </c>
      <c r="AB46" s="17" t="s">
        <v>70</v>
      </c>
      <c r="AC46" s="17" t="s">
        <v>79</v>
      </c>
      <c r="AD46" s="17" t="s">
        <v>84</v>
      </c>
      <c r="AE46" s="17" t="s">
        <v>64</v>
      </c>
    </row>
    <row r="47" ht="15.75" customHeight="1">
      <c r="A47" s="13">
        <v>46.0</v>
      </c>
      <c r="B47" s="26" t="s">
        <v>153</v>
      </c>
      <c r="C47" s="25" t="s">
        <v>44</v>
      </c>
      <c r="D47" s="14" t="s">
        <v>59</v>
      </c>
      <c r="E47" s="25" t="s">
        <v>47</v>
      </c>
      <c r="F47" s="14" t="s">
        <v>63</v>
      </c>
      <c r="G47" s="14" t="s">
        <v>84</v>
      </c>
      <c r="H47" s="15" t="s">
        <v>86</v>
      </c>
      <c r="I47" s="15" t="str">
        <f>TEXT(DATA!$J47,"[$-id-ID]mmmm")</f>
        <v>May</v>
      </c>
      <c r="J47" s="36">
        <v>46148.0</v>
      </c>
      <c r="K47" s="36">
        <v>46155.0</v>
      </c>
      <c r="L47" s="15" t="s">
        <v>64</v>
      </c>
      <c r="M47" s="15" t="s">
        <v>52</v>
      </c>
      <c r="N47" s="17" t="s">
        <v>44</v>
      </c>
      <c r="O47" s="15" t="s">
        <v>59</v>
      </c>
      <c r="P47" s="15" t="s">
        <v>47</v>
      </c>
      <c r="Q47" s="15" t="s">
        <v>63</v>
      </c>
      <c r="R47" s="15" t="s">
        <v>84</v>
      </c>
      <c r="S47" s="15" t="s">
        <v>64</v>
      </c>
      <c r="T47" s="15" t="s">
        <v>44</v>
      </c>
      <c r="U47" s="15" t="s">
        <v>59</v>
      </c>
      <c r="V47" s="15" t="s">
        <v>47</v>
      </c>
      <c r="W47" s="17" t="s">
        <v>63</v>
      </c>
      <c r="X47" s="17" t="s">
        <v>84</v>
      </c>
      <c r="Y47" s="17" t="s">
        <v>64</v>
      </c>
      <c r="Z47" s="17" t="s">
        <v>44</v>
      </c>
      <c r="AA47" s="17" t="s">
        <v>59</v>
      </c>
      <c r="AB47" s="17" t="s">
        <v>47</v>
      </c>
      <c r="AC47" s="17" t="s">
        <v>63</v>
      </c>
      <c r="AD47" s="17" t="s">
        <v>84</v>
      </c>
      <c r="AE47" s="17" t="s">
        <v>64</v>
      </c>
    </row>
    <row r="48" ht="15.75" customHeight="1">
      <c r="A48" s="13">
        <v>47.0</v>
      </c>
      <c r="B48" s="25" t="s">
        <v>154</v>
      </c>
      <c r="C48" s="25" t="s">
        <v>155</v>
      </c>
      <c r="D48" s="14" t="s">
        <v>46</v>
      </c>
      <c r="E48" s="25" t="s">
        <v>47</v>
      </c>
      <c r="F48" s="14" t="s">
        <v>63</v>
      </c>
      <c r="G48" s="14" t="s">
        <v>68</v>
      </c>
      <c r="H48" s="15" t="s">
        <v>86</v>
      </c>
      <c r="I48" s="15" t="str">
        <f>TEXT(DATA!$J48,"[$-id-ID]mmmm")</f>
        <v>May</v>
      </c>
      <c r="J48" s="16">
        <v>46146.0</v>
      </c>
      <c r="K48" s="16">
        <v>46154.0</v>
      </c>
      <c r="L48" s="15" t="s">
        <v>51</v>
      </c>
      <c r="M48" s="15" t="s">
        <v>52</v>
      </c>
      <c r="N48" s="17" t="s">
        <v>41</v>
      </c>
      <c r="O48" s="15" t="s">
        <v>46</v>
      </c>
      <c r="P48" s="15" t="s">
        <v>47</v>
      </c>
      <c r="Q48" s="15" t="s">
        <v>63</v>
      </c>
      <c r="R48" s="15" t="s">
        <v>68</v>
      </c>
      <c r="S48" s="15" t="s">
        <v>51</v>
      </c>
      <c r="T48" s="15" t="s">
        <v>41</v>
      </c>
      <c r="U48" s="15" t="s">
        <v>46</v>
      </c>
      <c r="V48" s="15" t="s">
        <v>47</v>
      </c>
      <c r="W48" s="17" t="s">
        <v>63</v>
      </c>
      <c r="X48" s="17" t="s">
        <v>68</v>
      </c>
      <c r="Y48" s="17" t="s">
        <v>51</v>
      </c>
      <c r="Z48" s="17" t="s">
        <v>41</v>
      </c>
      <c r="AA48" s="17" t="s">
        <v>46</v>
      </c>
      <c r="AB48" s="17" t="s">
        <v>47</v>
      </c>
      <c r="AC48" s="17" t="s">
        <v>63</v>
      </c>
      <c r="AD48" s="17" t="s">
        <v>68</v>
      </c>
      <c r="AE48" s="17" t="s">
        <v>51</v>
      </c>
    </row>
    <row r="49" ht="15.75" customHeight="1">
      <c r="A49" s="13">
        <v>48.0</v>
      </c>
      <c r="B49" s="14" t="s">
        <v>156</v>
      </c>
      <c r="C49" s="14" t="s">
        <v>43</v>
      </c>
      <c r="D49" s="14" t="s">
        <v>60</v>
      </c>
      <c r="E49" s="14" t="s">
        <v>47</v>
      </c>
      <c r="F49" s="14" t="s">
        <v>78</v>
      </c>
      <c r="G49" s="14" t="s">
        <v>49</v>
      </c>
      <c r="H49" s="15" t="s">
        <v>86</v>
      </c>
      <c r="I49" s="15" t="str">
        <f>TEXT(DATA!$J49,"[$-id-ID]mmmm")</f>
        <v>May</v>
      </c>
      <c r="J49" s="36">
        <v>46154.0</v>
      </c>
      <c r="K49" s="36">
        <v>46154.0</v>
      </c>
      <c r="L49" s="15" t="s">
        <v>64</v>
      </c>
      <c r="M49" s="15" t="s">
        <v>52</v>
      </c>
      <c r="N49" s="17" t="s">
        <v>43</v>
      </c>
      <c r="O49" s="15" t="s">
        <v>60</v>
      </c>
      <c r="P49" s="15" t="s">
        <v>47</v>
      </c>
      <c r="Q49" s="15" t="s">
        <v>78</v>
      </c>
      <c r="R49" s="15" t="s">
        <v>49</v>
      </c>
      <c r="S49" s="15" t="s">
        <v>64</v>
      </c>
      <c r="T49" s="15" t="s">
        <v>43</v>
      </c>
      <c r="U49" s="15" t="s">
        <v>60</v>
      </c>
      <c r="V49" s="15" t="s">
        <v>47</v>
      </c>
      <c r="W49" s="17" t="s">
        <v>78</v>
      </c>
      <c r="X49" s="17" t="s">
        <v>49</v>
      </c>
      <c r="Y49" s="17" t="s">
        <v>64</v>
      </c>
      <c r="Z49" s="17" t="s">
        <v>43</v>
      </c>
      <c r="AA49" s="17" t="s">
        <v>60</v>
      </c>
      <c r="AB49" s="17" t="s">
        <v>47</v>
      </c>
      <c r="AC49" s="17" t="s">
        <v>78</v>
      </c>
      <c r="AD49" s="17" t="s">
        <v>49</v>
      </c>
      <c r="AE49" s="17" t="s">
        <v>64</v>
      </c>
    </row>
    <row r="50" ht="15.75" customHeight="1">
      <c r="A50" s="41">
        <v>49.0</v>
      </c>
      <c r="B50" s="27" t="s">
        <v>157</v>
      </c>
      <c r="C50" s="28"/>
      <c r="D50" s="28"/>
      <c r="E50" s="28"/>
      <c r="F50" s="42"/>
      <c r="G50" s="42"/>
      <c r="H50" s="43"/>
      <c r="I50" s="44"/>
      <c r="J50" s="44"/>
      <c r="K50" s="44"/>
      <c r="L50" s="43"/>
      <c r="M50" s="43"/>
      <c r="N50" s="31"/>
      <c r="O50" s="31"/>
      <c r="P50" s="31"/>
      <c r="Q50" s="31"/>
      <c r="R50" s="31"/>
      <c r="S50" s="31"/>
      <c r="T50" s="31"/>
      <c r="U50" s="31"/>
      <c r="V50" s="31"/>
      <c r="W50" s="32"/>
      <c r="X50" s="32"/>
      <c r="Y50" s="32"/>
      <c r="Z50" s="32"/>
      <c r="AA50" s="32"/>
      <c r="AB50" s="32"/>
      <c r="AC50" s="32"/>
      <c r="AD50" s="32"/>
      <c r="AE50" s="32"/>
    </row>
    <row r="51" ht="15.75" customHeight="1">
      <c r="A51" s="34">
        <v>50.0</v>
      </c>
      <c r="B51" s="26" t="s">
        <v>158</v>
      </c>
      <c r="C51" s="26" t="s">
        <v>112</v>
      </c>
      <c r="D51" s="26" t="s">
        <v>46</v>
      </c>
      <c r="E51" s="26" t="s">
        <v>47</v>
      </c>
      <c r="F51" s="26" t="s">
        <v>63</v>
      </c>
      <c r="G51" s="26" t="s">
        <v>84</v>
      </c>
      <c r="H51" s="35" t="s">
        <v>86</v>
      </c>
      <c r="I51" s="15" t="str">
        <f>TEXT(DATA!$J51,"[$-id-ID]mmmm")</f>
        <v>May</v>
      </c>
      <c r="J51" s="45">
        <v>46160.0</v>
      </c>
      <c r="K51" s="45">
        <v>46164.0</v>
      </c>
      <c r="L51" s="35" t="s">
        <v>51</v>
      </c>
      <c r="M51" s="35" t="s">
        <v>52</v>
      </c>
      <c r="N51" s="15" t="s">
        <v>41</v>
      </c>
      <c r="O51" s="15" t="s">
        <v>46</v>
      </c>
      <c r="P51" s="15" t="s">
        <v>47</v>
      </c>
      <c r="Q51" s="15" t="s">
        <v>63</v>
      </c>
      <c r="R51" s="15" t="s">
        <v>84</v>
      </c>
      <c r="S51" s="15" t="s">
        <v>51</v>
      </c>
      <c r="T51" s="15" t="s">
        <v>41</v>
      </c>
      <c r="U51" s="15" t="s">
        <v>46</v>
      </c>
      <c r="V51" s="15" t="s">
        <v>47</v>
      </c>
      <c r="W51" s="17" t="s">
        <v>63</v>
      </c>
      <c r="X51" s="17" t="s">
        <v>84</v>
      </c>
      <c r="Y51" s="17" t="s">
        <v>51</v>
      </c>
      <c r="Z51" s="17" t="s">
        <v>41</v>
      </c>
      <c r="AA51" s="17" t="s">
        <v>46</v>
      </c>
      <c r="AB51" s="17" t="s">
        <v>47</v>
      </c>
      <c r="AC51" s="17" t="s">
        <v>63</v>
      </c>
      <c r="AD51" s="17" t="s">
        <v>84</v>
      </c>
      <c r="AE51" s="17" t="s">
        <v>51</v>
      </c>
    </row>
    <row r="52" ht="15.75" customHeight="1">
      <c r="A52" s="13">
        <v>51.0</v>
      </c>
      <c r="B52" s="25" t="s">
        <v>159</v>
      </c>
      <c r="C52" s="25" t="s">
        <v>160</v>
      </c>
      <c r="D52" s="14" t="s">
        <v>118</v>
      </c>
      <c r="E52" s="25" t="s">
        <v>47</v>
      </c>
      <c r="F52" s="14" t="s">
        <v>63</v>
      </c>
      <c r="G52" s="14" t="s">
        <v>68</v>
      </c>
      <c r="H52" s="15" t="s">
        <v>86</v>
      </c>
      <c r="I52" s="15" t="str">
        <f>TEXT(DATA!$J52,"[$-id-ID]mmmm")</f>
        <v>May</v>
      </c>
      <c r="J52" s="46">
        <v>46160.0</v>
      </c>
      <c r="K52" s="46">
        <v>46164.0</v>
      </c>
      <c r="L52" s="15" t="s">
        <v>51</v>
      </c>
      <c r="M52" s="15" t="s">
        <v>52</v>
      </c>
      <c r="N52" s="15" t="s">
        <v>117</v>
      </c>
      <c r="O52" s="15" t="s">
        <v>118</v>
      </c>
      <c r="P52" s="15" t="s">
        <v>47</v>
      </c>
      <c r="Q52" s="15" t="s">
        <v>63</v>
      </c>
      <c r="R52" s="15" t="s">
        <v>68</v>
      </c>
      <c r="S52" s="15" t="s">
        <v>51</v>
      </c>
      <c r="T52" s="15" t="s">
        <v>117</v>
      </c>
      <c r="U52" s="15" t="s">
        <v>118</v>
      </c>
      <c r="V52" s="15" t="s">
        <v>47</v>
      </c>
      <c r="W52" s="17" t="s">
        <v>63</v>
      </c>
      <c r="X52" s="17" t="s">
        <v>68</v>
      </c>
      <c r="Y52" s="17" t="s">
        <v>51</v>
      </c>
      <c r="Z52" s="17" t="s">
        <v>117</v>
      </c>
      <c r="AA52" s="17" t="s">
        <v>118</v>
      </c>
      <c r="AB52" s="17" t="s">
        <v>47</v>
      </c>
      <c r="AC52" s="17" t="s">
        <v>63</v>
      </c>
      <c r="AD52" s="17" t="s">
        <v>68</v>
      </c>
      <c r="AE52" s="17" t="s">
        <v>51</v>
      </c>
    </row>
    <row r="53" ht="15.75" customHeight="1">
      <c r="A53" s="13">
        <v>52.0</v>
      </c>
      <c r="B53" s="25" t="s">
        <v>161</v>
      </c>
      <c r="C53" s="25" t="s">
        <v>162</v>
      </c>
      <c r="D53" s="14" t="s">
        <v>114</v>
      </c>
      <c r="E53" s="25" t="s">
        <v>47</v>
      </c>
      <c r="F53" s="14" t="s">
        <v>63</v>
      </c>
      <c r="G53" s="14" t="s">
        <v>68</v>
      </c>
      <c r="H53" s="15" t="s">
        <v>86</v>
      </c>
      <c r="I53" s="15" t="str">
        <f>TEXT(DATA!$J53,"[$-id-ID]mmmm")</f>
        <v>May</v>
      </c>
      <c r="J53" s="36">
        <v>46160.0</v>
      </c>
      <c r="K53" s="36">
        <v>46164.0</v>
      </c>
      <c r="L53" s="15" t="s">
        <v>51</v>
      </c>
      <c r="M53" s="15" t="s">
        <v>52</v>
      </c>
      <c r="N53" s="15" t="s">
        <v>41</v>
      </c>
      <c r="O53" s="15" t="s">
        <v>114</v>
      </c>
      <c r="P53" s="15" t="s">
        <v>47</v>
      </c>
      <c r="Q53" s="15" t="s">
        <v>63</v>
      </c>
      <c r="R53" s="15" t="s">
        <v>68</v>
      </c>
      <c r="S53" s="15" t="s">
        <v>51</v>
      </c>
      <c r="T53" s="15" t="s">
        <v>41</v>
      </c>
      <c r="U53" s="15" t="s">
        <v>114</v>
      </c>
      <c r="V53" s="15" t="s">
        <v>47</v>
      </c>
      <c r="W53" s="17" t="s">
        <v>63</v>
      </c>
      <c r="X53" s="17" t="s">
        <v>68</v>
      </c>
      <c r="Y53" s="17" t="s">
        <v>51</v>
      </c>
      <c r="Z53" s="17" t="s">
        <v>41</v>
      </c>
      <c r="AA53" s="17" t="s">
        <v>114</v>
      </c>
      <c r="AB53" s="17" t="s">
        <v>47</v>
      </c>
      <c r="AC53" s="17" t="s">
        <v>63</v>
      </c>
      <c r="AD53" s="17" t="s">
        <v>68</v>
      </c>
      <c r="AE53" s="17" t="s">
        <v>51</v>
      </c>
    </row>
    <row r="54" ht="15.75" customHeight="1">
      <c r="A54" s="19">
        <v>53.0</v>
      </c>
      <c r="B54" s="27" t="s">
        <v>163</v>
      </c>
      <c r="C54" s="28"/>
      <c r="D54" s="28"/>
      <c r="E54" s="28"/>
      <c r="F54" s="28"/>
      <c r="G54" s="29"/>
      <c r="H54" s="29"/>
      <c r="I54" s="47"/>
      <c r="J54" s="47"/>
      <c r="K54" s="47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2"/>
      <c r="X54" s="32"/>
      <c r="Y54" s="32"/>
      <c r="Z54" s="32"/>
      <c r="AA54" s="32"/>
      <c r="AB54" s="32"/>
      <c r="AC54" s="32"/>
      <c r="AD54" s="32"/>
      <c r="AE54" s="32"/>
    </row>
    <row r="55" ht="15.75" customHeight="1">
      <c r="A55" s="13">
        <v>54.0</v>
      </c>
      <c r="B55" s="26" t="s">
        <v>164</v>
      </c>
      <c r="C55" s="25" t="s">
        <v>160</v>
      </c>
      <c r="D55" s="14" t="s">
        <v>118</v>
      </c>
      <c r="E55" s="25" t="s">
        <v>47</v>
      </c>
      <c r="F55" s="14" t="s">
        <v>63</v>
      </c>
      <c r="G55" s="14" t="s">
        <v>84</v>
      </c>
      <c r="H55" s="15" t="s">
        <v>86</v>
      </c>
      <c r="I55" s="15" t="str">
        <f>TEXT(DATA!$J55,"[$-id-ID]mmmm")</f>
        <v>May</v>
      </c>
      <c r="J55" s="45">
        <v>46167.0</v>
      </c>
      <c r="K55" s="45">
        <v>46178.0</v>
      </c>
      <c r="L55" s="15" t="s">
        <v>64</v>
      </c>
      <c r="M55" s="15" t="s">
        <v>52</v>
      </c>
      <c r="N55" s="15" t="s">
        <v>117</v>
      </c>
      <c r="O55" s="15" t="s">
        <v>118</v>
      </c>
      <c r="P55" s="15" t="s">
        <v>47</v>
      </c>
      <c r="Q55" s="15" t="s">
        <v>63</v>
      </c>
      <c r="R55" s="15" t="s">
        <v>84</v>
      </c>
      <c r="S55" s="15" t="s">
        <v>64</v>
      </c>
      <c r="T55" s="15" t="s">
        <v>117</v>
      </c>
      <c r="U55" s="15" t="s">
        <v>118</v>
      </c>
      <c r="V55" s="15" t="s">
        <v>47</v>
      </c>
      <c r="W55" s="17" t="s">
        <v>63</v>
      </c>
      <c r="X55" s="17" t="s">
        <v>84</v>
      </c>
      <c r="Y55" s="17" t="s">
        <v>64</v>
      </c>
      <c r="Z55" s="17" t="s">
        <v>117</v>
      </c>
      <c r="AA55" s="17" t="s">
        <v>118</v>
      </c>
      <c r="AB55" s="17" t="s">
        <v>47</v>
      </c>
      <c r="AC55" s="17" t="s">
        <v>63</v>
      </c>
      <c r="AD55" s="17" t="s">
        <v>84</v>
      </c>
      <c r="AE55" s="17" t="s">
        <v>64</v>
      </c>
    </row>
    <row r="56" ht="15.75" customHeight="1">
      <c r="A56" s="13">
        <v>55.0</v>
      </c>
      <c r="B56" s="25" t="s">
        <v>165</v>
      </c>
      <c r="C56" s="25" t="s">
        <v>166</v>
      </c>
      <c r="D56" s="14" t="s">
        <v>59</v>
      </c>
      <c r="E56" s="25" t="s">
        <v>71</v>
      </c>
      <c r="F56" s="14" t="s">
        <v>167</v>
      </c>
      <c r="G56" s="14" t="s">
        <v>68</v>
      </c>
      <c r="H56" s="15" t="s">
        <v>86</v>
      </c>
      <c r="I56" s="15" t="str">
        <f>TEXT(DATA!$J56,"[$-id-ID]mmmm")</f>
        <v>June</v>
      </c>
      <c r="J56" s="16">
        <v>46175.0</v>
      </c>
      <c r="K56" s="16">
        <v>46178.0</v>
      </c>
      <c r="L56" s="15" t="s">
        <v>64</v>
      </c>
      <c r="M56" s="15" t="s">
        <v>52</v>
      </c>
      <c r="N56" s="15" t="s">
        <v>166</v>
      </c>
      <c r="O56" s="15" t="s">
        <v>59</v>
      </c>
      <c r="P56" s="15" t="s">
        <v>71</v>
      </c>
      <c r="Q56" s="15" t="s">
        <v>41</v>
      </c>
      <c r="R56" s="15" t="s">
        <v>68</v>
      </c>
      <c r="S56" s="15" t="s">
        <v>64</v>
      </c>
      <c r="T56" s="15" t="s">
        <v>166</v>
      </c>
      <c r="U56" s="15" t="s">
        <v>59</v>
      </c>
      <c r="V56" s="15" t="s">
        <v>71</v>
      </c>
      <c r="W56" s="17" t="s">
        <v>41</v>
      </c>
      <c r="X56" s="17" t="s">
        <v>68</v>
      </c>
      <c r="Y56" s="17" t="s">
        <v>64</v>
      </c>
      <c r="Z56" s="17" t="s">
        <v>166</v>
      </c>
      <c r="AA56" s="17" t="s">
        <v>59</v>
      </c>
      <c r="AB56" s="17" t="s">
        <v>71</v>
      </c>
      <c r="AC56" s="17" t="s">
        <v>41</v>
      </c>
      <c r="AD56" s="17" t="s">
        <v>68</v>
      </c>
      <c r="AE56" s="17" t="s">
        <v>64</v>
      </c>
    </row>
    <row r="57" ht="15.75" customHeight="1">
      <c r="A57" s="13">
        <v>56.0</v>
      </c>
      <c r="B57" s="26" t="s">
        <v>168</v>
      </c>
      <c r="C57" s="26" t="s">
        <v>166</v>
      </c>
      <c r="D57" s="26" t="s">
        <v>59</v>
      </c>
      <c r="E57" s="26" t="s">
        <v>71</v>
      </c>
      <c r="F57" s="14" t="s">
        <v>167</v>
      </c>
      <c r="G57" s="14" t="s">
        <v>84</v>
      </c>
      <c r="H57" s="15" t="s">
        <v>86</v>
      </c>
      <c r="I57" s="15" t="str">
        <f>TEXT(DATA!$J57,"[$-id-ID]mmmm")</f>
        <v>June</v>
      </c>
      <c r="J57" s="45">
        <v>46181.0</v>
      </c>
      <c r="K57" s="45">
        <v>46185.0</v>
      </c>
      <c r="L57" s="15" t="s">
        <v>64</v>
      </c>
      <c r="M57" s="15" t="s">
        <v>52</v>
      </c>
      <c r="N57" s="15" t="s">
        <v>166</v>
      </c>
      <c r="O57" s="15" t="s">
        <v>59</v>
      </c>
      <c r="P57" s="15" t="s">
        <v>71</v>
      </c>
      <c r="Q57" s="15" t="s">
        <v>41</v>
      </c>
      <c r="R57" s="15" t="s">
        <v>84</v>
      </c>
      <c r="S57" s="15" t="s">
        <v>64</v>
      </c>
      <c r="T57" s="15" t="s">
        <v>166</v>
      </c>
      <c r="U57" s="15" t="s">
        <v>59</v>
      </c>
      <c r="V57" s="15" t="s">
        <v>71</v>
      </c>
      <c r="W57" s="17" t="s">
        <v>41</v>
      </c>
      <c r="X57" s="17" t="s">
        <v>84</v>
      </c>
      <c r="Y57" s="17" t="s">
        <v>64</v>
      </c>
      <c r="Z57" s="17" t="s">
        <v>166</v>
      </c>
      <c r="AA57" s="17" t="s">
        <v>59</v>
      </c>
      <c r="AB57" s="17" t="s">
        <v>71</v>
      </c>
      <c r="AC57" s="17" t="s">
        <v>41</v>
      </c>
      <c r="AD57" s="17" t="s">
        <v>84</v>
      </c>
      <c r="AE57" s="17" t="s">
        <v>64</v>
      </c>
    </row>
    <row r="58" ht="15.75" customHeight="1">
      <c r="A58" s="13">
        <v>57.0</v>
      </c>
      <c r="B58" s="25" t="s">
        <v>169</v>
      </c>
      <c r="C58" s="25" t="s">
        <v>170</v>
      </c>
      <c r="D58" s="14" t="s">
        <v>101</v>
      </c>
      <c r="E58" s="25" t="s">
        <v>47</v>
      </c>
      <c r="F58" s="14" t="s">
        <v>63</v>
      </c>
      <c r="G58" s="14" t="s">
        <v>68</v>
      </c>
      <c r="H58" s="15" t="s">
        <v>86</v>
      </c>
      <c r="I58" s="15" t="str">
        <f>TEXT(DATA!$J58,"[$-id-ID]mmmm")</f>
        <v>June</v>
      </c>
      <c r="J58" s="16">
        <v>46181.0</v>
      </c>
      <c r="K58" s="16">
        <v>46185.0</v>
      </c>
      <c r="L58" s="15" t="s">
        <v>51</v>
      </c>
      <c r="M58" s="15" t="s">
        <v>52</v>
      </c>
      <c r="N58" s="15" t="s">
        <v>41</v>
      </c>
      <c r="O58" s="15" t="s">
        <v>101</v>
      </c>
      <c r="P58" s="15" t="s">
        <v>47</v>
      </c>
      <c r="Q58" s="15" t="s">
        <v>63</v>
      </c>
      <c r="R58" s="15" t="s">
        <v>68</v>
      </c>
      <c r="S58" s="15" t="s">
        <v>51</v>
      </c>
      <c r="T58" s="15" t="s">
        <v>41</v>
      </c>
      <c r="U58" s="15" t="s">
        <v>101</v>
      </c>
      <c r="V58" s="15" t="s">
        <v>47</v>
      </c>
      <c r="W58" s="17" t="s">
        <v>63</v>
      </c>
      <c r="X58" s="17" t="s">
        <v>68</v>
      </c>
      <c r="Y58" s="17" t="s">
        <v>51</v>
      </c>
      <c r="Z58" s="17" t="s">
        <v>41</v>
      </c>
      <c r="AA58" s="17" t="s">
        <v>101</v>
      </c>
      <c r="AB58" s="17" t="s">
        <v>47</v>
      </c>
      <c r="AC58" s="17" t="s">
        <v>63</v>
      </c>
      <c r="AD58" s="17" t="s">
        <v>68</v>
      </c>
      <c r="AE58" s="17" t="s">
        <v>51</v>
      </c>
    </row>
    <row r="59" ht="15.75" customHeight="1">
      <c r="A59" s="13">
        <v>58.0</v>
      </c>
      <c r="B59" s="25" t="s">
        <v>171</v>
      </c>
      <c r="C59" s="25" t="s">
        <v>172</v>
      </c>
      <c r="D59" s="14" t="s">
        <v>60</v>
      </c>
      <c r="E59" s="25" t="s">
        <v>47</v>
      </c>
      <c r="F59" s="14" t="s">
        <v>63</v>
      </c>
      <c r="G59" s="14" t="s">
        <v>68</v>
      </c>
      <c r="H59" s="15" t="s">
        <v>86</v>
      </c>
      <c r="I59" s="15" t="str">
        <f>TEXT(DATA!$J59,"[$-id-ID]mmmm")</f>
        <v>June</v>
      </c>
      <c r="J59" s="36">
        <v>46181.0</v>
      </c>
      <c r="K59" s="36">
        <v>46185.0</v>
      </c>
      <c r="L59" s="15" t="s">
        <v>51</v>
      </c>
      <c r="M59" s="15" t="s">
        <v>52</v>
      </c>
      <c r="N59" s="15" t="s">
        <v>41</v>
      </c>
      <c r="O59" s="15" t="s">
        <v>60</v>
      </c>
      <c r="P59" s="15" t="s">
        <v>47</v>
      </c>
      <c r="Q59" s="15" t="s">
        <v>63</v>
      </c>
      <c r="R59" s="15" t="s">
        <v>68</v>
      </c>
      <c r="S59" s="15" t="s">
        <v>51</v>
      </c>
      <c r="T59" s="15" t="s">
        <v>41</v>
      </c>
      <c r="U59" s="15" t="s">
        <v>60</v>
      </c>
      <c r="V59" s="15" t="s">
        <v>47</v>
      </c>
      <c r="W59" s="17" t="s">
        <v>63</v>
      </c>
      <c r="X59" s="17" t="s">
        <v>68</v>
      </c>
      <c r="Y59" s="17" t="s">
        <v>51</v>
      </c>
      <c r="Z59" s="17" t="s">
        <v>41</v>
      </c>
      <c r="AA59" s="17" t="s">
        <v>60</v>
      </c>
      <c r="AB59" s="17" t="s">
        <v>47</v>
      </c>
      <c r="AC59" s="17" t="s">
        <v>63</v>
      </c>
      <c r="AD59" s="17" t="s">
        <v>68</v>
      </c>
      <c r="AE59" s="17" t="s">
        <v>51</v>
      </c>
    </row>
    <row r="60" ht="15.75" customHeight="1">
      <c r="A60" s="13">
        <v>59.0</v>
      </c>
      <c r="B60" s="26" t="s">
        <v>173</v>
      </c>
      <c r="C60" s="26" t="s">
        <v>41</v>
      </c>
      <c r="D60" s="26"/>
      <c r="E60" s="26" t="s">
        <v>47</v>
      </c>
      <c r="F60" s="14" t="s">
        <v>63</v>
      </c>
      <c r="G60" s="14" t="s">
        <v>84</v>
      </c>
      <c r="H60" s="15" t="s">
        <v>86</v>
      </c>
      <c r="I60" s="15" t="str">
        <f>TEXT(DATA!$J60,"[$-id-ID]mmmm")</f>
        <v>June</v>
      </c>
      <c r="J60" s="48">
        <v>46188.0</v>
      </c>
      <c r="K60" s="48">
        <v>46192.0</v>
      </c>
      <c r="L60" s="15" t="s">
        <v>51</v>
      </c>
      <c r="M60" s="15" t="s">
        <v>52</v>
      </c>
      <c r="N60" s="15" t="s">
        <v>41</v>
      </c>
      <c r="O60" s="15"/>
      <c r="P60" s="15" t="s">
        <v>47</v>
      </c>
      <c r="Q60" s="15" t="s">
        <v>63</v>
      </c>
      <c r="R60" s="15" t="s">
        <v>84</v>
      </c>
      <c r="S60" s="15" t="s">
        <v>51</v>
      </c>
      <c r="T60" s="15" t="s">
        <v>41</v>
      </c>
      <c r="U60" s="15"/>
      <c r="V60" s="15" t="s">
        <v>47</v>
      </c>
      <c r="W60" s="17" t="s">
        <v>63</v>
      </c>
      <c r="X60" s="17" t="s">
        <v>84</v>
      </c>
      <c r="Y60" s="17" t="s">
        <v>51</v>
      </c>
      <c r="Z60" s="17" t="s">
        <v>41</v>
      </c>
      <c r="AA60" s="17"/>
      <c r="AB60" s="17" t="s">
        <v>47</v>
      </c>
      <c r="AC60" s="17" t="s">
        <v>63</v>
      </c>
      <c r="AD60" s="17" t="s">
        <v>84</v>
      </c>
      <c r="AE60" s="17" t="s">
        <v>51</v>
      </c>
    </row>
    <row r="61" ht="15.75" customHeight="1">
      <c r="A61" s="13">
        <v>60.0</v>
      </c>
      <c r="B61" s="25" t="s">
        <v>174</v>
      </c>
      <c r="C61" s="25" t="s">
        <v>175</v>
      </c>
      <c r="D61" s="14" t="s">
        <v>55</v>
      </c>
      <c r="E61" s="25" t="s">
        <v>47</v>
      </c>
      <c r="F61" s="14" t="s">
        <v>63</v>
      </c>
      <c r="G61" s="14" t="s">
        <v>68</v>
      </c>
      <c r="H61" s="15" t="s">
        <v>86</v>
      </c>
      <c r="I61" s="15" t="str">
        <f>TEXT(DATA!$J61,"[$-id-ID]mmmm")</f>
        <v>June</v>
      </c>
      <c r="J61" s="36">
        <v>46195.0</v>
      </c>
      <c r="K61" s="36">
        <v>46199.0</v>
      </c>
      <c r="L61" s="15" t="s">
        <v>64</v>
      </c>
      <c r="M61" s="15" t="s">
        <v>52</v>
      </c>
      <c r="N61" s="15" t="s">
        <v>41</v>
      </c>
      <c r="O61" s="15" t="s">
        <v>55</v>
      </c>
      <c r="P61" s="15" t="s">
        <v>47</v>
      </c>
      <c r="Q61" s="15" t="s">
        <v>63</v>
      </c>
      <c r="R61" s="15" t="s">
        <v>68</v>
      </c>
      <c r="S61" s="15" t="s">
        <v>64</v>
      </c>
      <c r="T61" s="15" t="s">
        <v>41</v>
      </c>
      <c r="U61" s="15" t="s">
        <v>55</v>
      </c>
      <c r="V61" s="15" t="s">
        <v>47</v>
      </c>
      <c r="W61" s="17" t="s">
        <v>63</v>
      </c>
      <c r="X61" s="17" t="s">
        <v>68</v>
      </c>
      <c r="Y61" s="17" t="s">
        <v>64</v>
      </c>
      <c r="Z61" s="17" t="s">
        <v>41</v>
      </c>
      <c r="AA61" s="17" t="s">
        <v>55</v>
      </c>
      <c r="AB61" s="17" t="s">
        <v>47</v>
      </c>
      <c r="AC61" s="17" t="s">
        <v>63</v>
      </c>
      <c r="AD61" s="17" t="s">
        <v>68</v>
      </c>
      <c r="AE61" s="17" t="s">
        <v>64</v>
      </c>
    </row>
    <row r="62" ht="15.75" customHeight="1">
      <c r="A62" s="13">
        <v>61.0</v>
      </c>
      <c r="B62" s="25" t="s">
        <v>176</v>
      </c>
      <c r="C62" s="25" t="s">
        <v>110</v>
      </c>
      <c r="D62" s="14" t="s">
        <v>59</v>
      </c>
      <c r="E62" s="25" t="s">
        <v>47</v>
      </c>
      <c r="F62" s="14" t="s">
        <v>63</v>
      </c>
      <c r="G62" s="14" t="s">
        <v>68</v>
      </c>
      <c r="H62" s="15" t="s">
        <v>86</v>
      </c>
      <c r="I62" s="15" t="str">
        <f>TEXT(DATA!$J62,"[$-id-ID]mmmm")</f>
        <v>June</v>
      </c>
      <c r="J62" s="40">
        <v>46195.0</v>
      </c>
      <c r="K62" s="40">
        <v>46199.0</v>
      </c>
      <c r="L62" s="15" t="s">
        <v>64</v>
      </c>
      <c r="M62" s="15" t="s">
        <v>52</v>
      </c>
      <c r="N62" s="15" t="s">
        <v>41</v>
      </c>
      <c r="O62" s="15" t="s">
        <v>59</v>
      </c>
      <c r="P62" s="15" t="s">
        <v>47</v>
      </c>
      <c r="Q62" s="15" t="s">
        <v>63</v>
      </c>
      <c r="R62" s="15" t="s">
        <v>68</v>
      </c>
      <c r="S62" s="15" t="s">
        <v>64</v>
      </c>
      <c r="T62" s="15" t="s">
        <v>41</v>
      </c>
      <c r="U62" s="15" t="s">
        <v>59</v>
      </c>
      <c r="V62" s="15" t="s">
        <v>47</v>
      </c>
      <c r="W62" s="17" t="s">
        <v>63</v>
      </c>
      <c r="X62" s="17" t="s">
        <v>68</v>
      </c>
      <c r="Y62" s="17" t="s">
        <v>64</v>
      </c>
      <c r="Z62" s="17" t="s">
        <v>41</v>
      </c>
      <c r="AA62" s="17" t="s">
        <v>59</v>
      </c>
      <c r="AB62" s="17" t="s">
        <v>47</v>
      </c>
      <c r="AC62" s="17" t="s">
        <v>63</v>
      </c>
      <c r="AD62" s="17" t="s">
        <v>68</v>
      </c>
      <c r="AE62" s="17" t="s">
        <v>64</v>
      </c>
    </row>
    <row r="63" ht="15.75" customHeight="1">
      <c r="A63" s="13">
        <v>62.0</v>
      </c>
      <c r="B63" s="49" t="s">
        <v>177</v>
      </c>
      <c r="C63" s="49" t="s">
        <v>43</v>
      </c>
      <c r="D63" s="14" t="s">
        <v>60</v>
      </c>
      <c r="E63" s="49" t="s">
        <v>70</v>
      </c>
      <c r="F63" s="14" t="s">
        <v>79</v>
      </c>
      <c r="G63" s="14" t="s">
        <v>130</v>
      </c>
      <c r="H63" s="15" t="s">
        <v>86</v>
      </c>
      <c r="I63" s="15" t="str">
        <f>TEXT(DATA!$J63,"[$-id-ID]mmmm")</f>
        <v>June</v>
      </c>
      <c r="J63" s="45">
        <v>46195.0</v>
      </c>
      <c r="K63" s="45">
        <v>46203.0</v>
      </c>
      <c r="L63" s="15" t="s">
        <v>64</v>
      </c>
      <c r="M63" s="15" t="s">
        <v>52</v>
      </c>
      <c r="N63" s="15" t="s">
        <v>43</v>
      </c>
      <c r="O63" s="15" t="s">
        <v>60</v>
      </c>
      <c r="P63" s="15" t="s">
        <v>70</v>
      </c>
      <c r="Q63" s="15" t="s">
        <v>79</v>
      </c>
      <c r="R63" s="15" t="s">
        <v>130</v>
      </c>
      <c r="S63" s="15" t="s">
        <v>64</v>
      </c>
      <c r="T63" s="15" t="s">
        <v>43</v>
      </c>
      <c r="U63" s="15" t="s">
        <v>60</v>
      </c>
      <c r="V63" s="15" t="s">
        <v>70</v>
      </c>
      <c r="W63" s="17" t="s">
        <v>79</v>
      </c>
      <c r="X63" s="17" t="s">
        <v>130</v>
      </c>
      <c r="Y63" s="17" t="s">
        <v>64</v>
      </c>
      <c r="Z63" s="17" t="s">
        <v>43</v>
      </c>
      <c r="AA63" s="17" t="s">
        <v>60</v>
      </c>
      <c r="AB63" s="17" t="s">
        <v>70</v>
      </c>
      <c r="AC63" s="17" t="s">
        <v>79</v>
      </c>
      <c r="AD63" s="17" t="s">
        <v>130</v>
      </c>
      <c r="AE63" s="17" t="s">
        <v>64</v>
      </c>
    </row>
    <row r="64" ht="15.75" customHeight="1">
      <c r="A64" s="13">
        <v>63.0</v>
      </c>
      <c r="B64" s="26" t="s">
        <v>178</v>
      </c>
      <c r="C64" s="26" t="s">
        <v>41</v>
      </c>
      <c r="D64" s="26" t="s">
        <v>41</v>
      </c>
      <c r="E64" s="26" t="s">
        <v>47</v>
      </c>
      <c r="F64" s="14"/>
      <c r="G64" s="14" t="s">
        <v>84</v>
      </c>
      <c r="H64" s="15" t="s">
        <v>86</v>
      </c>
      <c r="I64" s="15" t="str">
        <f>TEXT(DATA!$J64,"[$-id-ID]mmmm")</f>
        <v>June</v>
      </c>
      <c r="J64" s="48">
        <v>46202.0</v>
      </c>
      <c r="K64" s="48">
        <v>46206.0</v>
      </c>
      <c r="L64" s="15" t="s">
        <v>51</v>
      </c>
      <c r="M64" s="15" t="s">
        <v>52</v>
      </c>
      <c r="N64" s="15" t="s">
        <v>41</v>
      </c>
      <c r="O64" s="15" t="s">
        <v>41</v>
      </c>
      <c r="P64" s="15" t="s">
        <v>47</v>
      </c>
      <c r="Q64" s="15"/>
      <c r="R64" s="15" t="s">
        <v>84</v>
      </c>
      <c r="S64" s="15" t="s">
        <v>51</v>
      </c>
      <c r="T64" s="15" t="s">
        <v>41</v>
      </c>
      <c r="U64" s="15" t="s">
        <v>41</v>
      </c>
      <c r="V64" s="15" t="s">
        <v>47</v>
      </c>
      <c r="W64" s="17"/>
      <c r="X64" s="17" t="s">
        <v>84</v>
      </c>
      <c r="Y64" s="17" t="s">
        <v>51</v>
      </c>
      <c r="Z64" s="17" t="s">
        <v>41</v>
      </c>
      <c r="AA64" s="17" t="s">
        <v>41</v>
      </c>
      <c r="AB64" s="17" t="s">
        <v>47</v>
      </c>
      <c r="AC64" s="17"/>
      <c r="AD64" s="17" t="s">
        <v>84</v>
      </c>
      <c r="AE64" s="17" t="s">
        <v>51</v>
      </c>
    </row>
    <row r="65" ht="15.75" customHeight="1">
      <c r="A65" s="13">
        <v>64.0</v>
      </c>
      <c r="B65" s="25" t="s">
        <v>179</v>
      </c>
      <c r="C65" s="25" t="s">
        <v>95</v>
      </c>
      <c r="D65" s="14" t="s">
        <v>60</v>
      </c>
      <c r="E65" s="25" t="s">
        <v>71</v>
      </c>
      <c r="F65" s="14" t="s">
        <v>96</v>
      </c>
      <c r="G65" s="14" t="s">
        <v>68</v>
      </c>
      <c r="H65" s="15" t="s">
        <v>86</v>
      </c>
      <c r="I65" s="15" t="str">
        <f>TEXT(DATA!$J65,"[$-id-ID]mmmm")</f>
        <v>June</v>
      </c>
      <c r="J65" s="36">
        <v>46202.0</v>
      </c>
      <c r="K65" s="36">
        <v>46206.0</v>
      </c>
      <c r="L65" s="15" t="s">
        <v>51</v>
      </c>
      <c r="M65" s="15" t="s">
        <v>52</v>
      </c>
      <c r="N65" s="15" t="s">
        <v>95</v>
      </c>
      <c r="O65" s="15" t="s">
        <v>60</v>
      </c>
      <c r="P65" s="15" t="s">
        <v>71</v>
      </c>
      <c r="Q65" s="15" t="s">
        <v>96</v>
      </c>
      <c r="R65" s="15" t="s">
        <v>68</v>
      </c>
      <c r="S65" s="15" t="s">
        <v>51</v>
      </c>
      <c r="T65" s="15" t="s">
        <v>95</v>
      </c>
      <c r="U65" s="15" t="s">
        <v>60</v>
      </c>
      <c r="V65" s="15" t="s">
        <v>71</v>
      </c>
      <c r="W65" s="17" t="s">
        <v>96</v>
      </c>
      <c r="X65" s="17" t="s">
        <v>68</v>
      </c>
      <c r="Y65" s="17" t="s">
        <v>51</v>
      </c>
      <c r="Z65" s="17" t="s">
        <v>95</v>
      </c>
      <c r="AA65" s="17" t="s">
        <v>60</v>
      </c>
      <c r="AB65" s="17" t="s">
        <v>71</v>
      </c>
      <c r="AC65" s="17" t="s">
        <v>96</v>
      </c>
      <c r="AD65" s="17" t="s">
        <v>68</v>
      </c>
      <c r="AE65" s="17" t="s">
        <v>51</v>
      </c>
    </row>
    <row r="66" ht="15.75" customHeight="1">
      <c r="A66" s="13">
        <v>65.0</v>
      </c>
      <c r="B66" s="26" t="s">
        <v>180</v>
      </c>
      <c r="C66" s="26" t="s">
        <v>41</v>
      </c>
      <c r="D66" s="26" t="s">
        <v>41</v>
      </c>
      <c r="E66" s="26" t="s">
        <v>71</v>
      </c>
      <c r="F66" s="14" t="s">
        <v>96</v>
      </c>
      <c r="G66" s="14" t="s">
        <v>84</v>
      </c>
      <c r="H66" s="15" t="s">
        <v>87</v>
      </c>
      <c r="I66" s="15" t="str">
        <f>TEXT(DATA!$J66,"[$-id-ID]mmmm")</f>
        <v>July</v>
      </c>
      <c r="J66" s="48">
        <v>46209.0</v>
      </c>
      <c r="K66" s="48">
        <v>46213.0</v>
      </c>
      <c r="L66" s="15" t="s">
        <v>64</v>
      </c>
      <c r="M66" s="15" t="s">
        <v>52</v>
      </c>
      <c r="N66" s="15" t="s">
        <v>41</v>
      </c>
      <c r="O66" s="15" t="s">
        <v>41</v>
      </c>
      <c r="P66" s="15" t="s">
        <v>71</v>
      </c>
      <c r="Q66" s="15" t="s">
        <v>96</v>
      </c>
      <c r="R66" s="15" t="s">
        <v>84</v>
      </c>
      <c r="S66" s="15" t="s">
        <v>64</v>
      </c>
      <c r="T66" s="15" t="s">
        <v>41</v>
      </c>
      <c r="U66" s="15" t="s">
        <v>41</v>
      </c>
      <c r="V66" s="15" t="s">
        <v>71</v>
      </c>
      <c r="W66" s="17" t="s">
        <v>96</v>
      </c>
      <c r="X66" s="17" t="s">
        <v>84</v>
      </c>
      <c r="Y66" s="17" t="s">
        <v>64</v>
      </c>
      <c r="Z66" s="17" t="s">
        <v>41</v>
      </c>
      <c r="AA66" s="17" t="s">
        <v>41</v>
      </c>
      <c r="AB66" s="17" t="s">
        <v>71</v>
      </c>
      <c r="AC66" s="17" t="s">
        <v>96</v>
      </c>
      <c r="AD66" s="17" t="s">
        <v>84</v>
      </c>
      <c r="AE66" s="17" t="s">
        <v>64</v>
      </c>
    </row>
    <row r="67" ht="15.75" customHeight="1">
      <c r="A67" s="13">
        <v>66.0</v>
      </c>
      <c r="B67" s="25" t="s">
        <v>181</v>
      </c>
      <c r="C67" s="25" t="s">
        <v>61</v>
      </c>
      <c r="D67" s="14" t="s">
        <v>62</v>
      </c>
      <c r="E67" s="25" t="s">
        <v>47</v>
      </c>
      <c r="F67" s="14" t="s">
        <v>63</v>
      </c>
      <c r="G67" s="14" t="s">
        <v>68</v>
      </c>
      <c r="H67" s="15" t="s">
        <v>87</v>
      </c>
      <c r="I67" s="15" t="str">
        <f>TEXT(DATA!$J67,"[$-id-ID]mmmm")</f>
        <v>July</v>
      </c>
      <c r="J67" s="36">
        <v>46209.0</v>
      </c>
      <c r="K67" s="36">
        <v>46213.0</v>
      </c>
      <c r="L67" s="15" t="s">
        <v>51</v>
      </c>
      <c r="M67" s="15" t="s">
        <v>52</v>
      </c>
      <c r="N67" s="15" t="s">
        <v>41</v>
      </c>
      <c r="O67" s="15" t="s">
        <v>62</v>
      </c>
      <c r="P67" s="15" t="s">
        <v>47</v>
      </c>
      <c r="Q67" s="15" t="s">
        <v>63</v>
      </c>
      <c r="R67" s="15" t="s">
        <v>68</v>
      </c>
      <c r="S67" s="15" t="s">
        <v>51</v>
      </c>
      <c r="T67" s="15" t="s">
        <v>41</v>
      </c>
      <c r="U67" s="15" t="s">
        <v>62</v>
      </c>
      <c r="V67" s="15" t="s">
        <v>47</v>
      </c>
      <c r="W67" s="17" t="s">
        <v>63</v>
      </c>
      <c r="X67" s="17" t="s">
        <v>68</v>
      </c>
      <c r="Y67" s="17" t="s">
        <v>51</v>
      </c>
      <c r="Z67" s="17" t="s">
        <v>41</v>
      </c>
      <c r="AA67" s="17" t="s">
        <v>62</v>
      </c>
      <c r="AB67" s="17" t="s">
        <v>47</v>
      </c>
      <c r="AC67" s="17" t="s">
        <v>63</v>
      </c>
      <c r="AD67" s="17" t="s">
        <v>68</v>
      </c>
      <c r="AE67" s="17" t="s">
        <v>51</v>
      </c>
    </row>
    <row r="68" ht="15.75" customHeight="1">
      <c r="A68" s="13">
        <v>67.0</v>
      </c>
      <c r="B68" s="25" t="s">
        <v>182</v>
      </c>
      <c r="C68" s="25" t="s">
        <v>40</v>
      </c>
      <c r="D68" s="14" t="s">
        <v>46</v>
      </c>
      <c r="E68" s="25" t="s">
        <v>47</v>
      </c>
      <c r="F68" s="14" t="s">
        <v>63</v>
      </c>
      <c r="G68" s="14" t="s">
        <v>68</v>
      </c>
      <c r="H68" s="15" t="s">
        <v>87</v>
      </c>
      <c r="I68" s="15" t="str">
        <f>TEXT(DATA!$J68,"[$-id-ID]mmmm")</f>
        <v>July</v>
      </c>
      <c r="J68" s="16">
        <v>46209.0</v>
      </c>
      <c r="K68" s="16">
        <v>46213.0</v>
      </c>
      <c r="L68" s="15" t="s">
        <v>51</v>
      </c>
      <c r="M68" s="15" t="s">
        <v>52</v>
      </c>
      <c r="N68" s="15" t="s">
        <v>41</v>
      </c>
      <c r="O68" s="15" t="s">
        <v>46</v>
      </c>
      <c r="P68" s="15" t="s">
        <v>47</v>
      </c>
      <c r="Q68" s="15" t="s">
        <v>63</v>
      </c>
      <c r="R68" s="15" t="s">
        <v>68</v>
      </c>
      <c r="S68" s="15" t="s">
        <v>51</v>
      </c>
      <c r="T68" s="15" t="s">
        <v>41</v>
      </c>
      <c r="U68" s="15" t="s">
        <v>46</v>
      </c>
      <c r="V68" s="15" t="s">
        <v>47</v>
      </c>
      <c r="W68" s="17" t="s">
        <v>63</v>
      </c>
      <c r="X68" s="17" t="s">
        <v>68</v>
      </c>
      <c r="Y68" s="17" t="s">
        <v>51</v>
      </c>
      <c r="Z68" s="17" t="s">
        <v>41</v>
      </c>
      <c r="AA68" s="17" t="s">
        <v>46</v>
      </c>
      <c r="AB68" s="17" t="s">
        <v>47</v>
      </c>
      <c r="AC68" s="17" t="s">
        <v>63</v>
      </c>
      <c r="AD68" s="17" t="s">
        <v>68</v>
      </c>
      <c r="AE68" s="17" t="s">
        <v>51</v>
      </c>
    </row>
    <row r="69" ht="15.75" customHeight="1">
      <c r="A69" s="13">
        <v>68.0</v>
      </c>
      <c r="B69" s="26" t="s">
        <v>183</v>
      </c>
      <c r="C69" s="26" t="s">
        <v>184</v>
      </c>
      <c r="D69" s="14" t="s">
        <v>46</v>
      </c>
      <c r="E69" s="26" t="s">
        <v>47</v>
      </c>
      <c r="F69" s="14" t="s">
        <v>63</v>
      </c>
      <c r="G69" s="14" t="s">
        <v>84</v>
      </c>
      <c r="H69" s="15" t="s">
        <v>87</v>
      </c>
      <c r="I69" s="15" t="str">
        <f>TEXT(DATA!$J69,"[$-id-ID]mmmm")</f>
        <v>July</v>
      </c>
      <c r="J69" s="45">
        <v>46216.0</v>
      </c>
      <c r="K69" s="45">
        <v>46220.0</v>
      </c>
      <c r="L69" s="15" t="s">
        <v>64</v>
      </c>
      <c r="M69" s="15" t="s">
        <v>185</v>
      </c>
      <c r="N69" s="15" t="s">
        <v>41</v>
      </c>
      <c r="O69" s="15" t="s">
        <v>46</v>
      </c>
      <c r="P69" s="15" t="s">
        <v>47</v>
      </c>
      <c r="Q69" s="15" t="s">
        <v>63</v>
      </c>
      <c r="R69" s="15" t="s">
        <v>84</v>
      </c>
      <c r="S69" s="15" t="s">
        <v>64</v>
      </c>
      <c r="T69" s="15" t="s">
        <v>41</v>
      </c>
      <c r="U69" s="15" t="s">
        <v>46</v>
      </c>
      <c r="V69" s="15" t="s">
        <v>47</v>
      </c>
      <c r="W69" s="17" t="s">
        <v>63</v>
      </c>
      <c r="X69" s="17" t="s">
        <v>84</v>
      </c>
      <c r="Y69" s="17" t="s">
        <v>64</v>
      </c>
      <c r="Z69" s="17" t="s">
        <v>41</v>
      </c>
      <c r="AA69" s="17" t="s">
        <v>46</v>
      </c>
      <c r="AB69" s="17" t="s">
        <v>47</v>
      </c>
      <c r="AC69" s="17" t="s">
        <v>63</v>
      </c>
      <c r="AD69" s="17" t="s">
        <v>84</v>
      </c>
      <c r="AE69" s="17" t="s">
        <v>64</v>
      </c>
    </row>
    <row r="70" ht="15.75" customHeight="1">
      <c r="A70" s="13">
        <v>69.0</v>
      </c>
      <c r="B70" s="25" t="s">
        <v>186</v>
      </c>
      <c r="C70" s="14" t="s">
        <v>43</v>
      </c>
      <c r="D70" s="14" t="s">
        <v>60</v>
      </c>
      <c r="E70" s="14" t="s">
        <v>47</v>
      </c>
      <c r="F70" s="14" t="s">
        <v>78</v>
      </c>
      <c r="G70" s="14" t="s">
        <v>68</v>
      </c>
      <c r="H70" s="15" t="s">
        <v>87</v>
      </c>
      <c r="I70" s="15" t="str">
        <f>TEXT(DATA!$J70,"[$-id-ID]mmmm")</f>
        <v>July</v>
      </c>
      <c r="J70" s="16">
        <v>46216.0</v>
      </c>
      <c r="K70" s="16">
        <v>46220.0</v>
      </c>
      <c r="L70" s="15" t="s">
        <v>51</v>
      </c>
      <c r="M70" s="15" t="s">
        <v>185</v>
      </c>
      <c r="N70" s="15" t="s">
        <v>43</v>
      </c>
      <c r="O70" s="15" t="s">
        <v>60</v>
      </c>
      <c r="P70" s="15" t="s">
        <v>47</v>
      </c>
      <c r="Q70" s="15" t="s">
        <v>78</v>
      </c>
      <c r="R70" s="15" t="s">
        <v>68</v>
      </c>
      <c r="S70" s="15" t="s">
        <v>51</v>
      </c>
      <c r="T70" s="15" t="s">
        <v>43</v>
      </c>
      <c r="U70" s="15" t="s">
        <v>60</v>
      </c>
      <c r="V70" s="15" t="s">
        <v>47</v>
      </c>
      <c r="W70" s="17" t="s">
        <v>78</v>
      </c>
      <c r="X70" s="17" t="s">
        <v>68</v>
      </c>
      <c r="Y70" s="17" t="s">
        <v>51</v>
      </c>
      <c r="Z70" s="17" t="s">
        <v>43</v>
      </c>
      <c r="AA70" s="17" t="s">
        <v>60</v>
      </c>
      <c r="AB70" s="17" t="s">
        <v>47</v>
      </c>
      <c r="AC70" s="17" t="s">
        <v>78</v>
      </c>
      <c r="AD70" s="17" t="s">
        <v>68</v>
      </c>
      <c r="AE70" s="17" t="s">
        <v>51</v>
      </c>
    </row>
    <row r="71" ht="15.75" customHeight="1">
      <c r="A71" s="13">
        <v>70.0</v>
      </c>
      <c r="B71" s="25" t="s">
        <v>187</v>
      </c>
      <c r="C71" s="14" t="s">
        <v>43</v>
      </c>
      <c r="D71" s="14" t="s">
        <v>60</v>
      </c>
      <c r="E71" s="14" t="s">
        <v>47</v>
      </c>
      <c r="F71" s="14" t="s">
        <v>78</v>
      </c>
      <c r="G71" s="14" t="s">
        <v>122</v>
      </c>
      <c r="H71" s="15" t="s">
        <v>87</v>
      </c>
      <c r="I71" s="15" t="str">
        <f>TEXT(DATA!$J71,"[$-id-ID]mmmm")</f>
        <v>July</v>
      </c>
      <c r="J71" s="36">
        <v>46216.0</v>
      </c>
      <c r="K71" s="36">
        <v>46220.0</v>
      </c>
      <c r="L71" s="15" t="s">
        <v>64</v>
      </c>
      <c r="M71" s="15" t="s">
        <v>185</v>
      </c>
      <c r="N71" s="15" t="s">
        <v>43</v>
      </c>
      <c r="O71" s="15" t="s">
        <v>60</v>
      </c>
      <c r="P71" s="15" t="s">
        <v>47</v>
      </c>
      <c r="Q71" s="15" t="s">
        <v>78</v>
      </c>
      <c r="R71" s="15" t="s">
        <v>122</v>
      </c>
      <c r="S71" s="15" t="s">
        <v>64</v>
      </c>
      <c r="T71" s="15" t="s">
        <v>43</v>
      </c>
      <c r="U71" s="15" t="s">
        <v>60</v>
      </c>
      <c r="V71" s="15" t="s">
        <v>47</v>
      </c>
      <c r="W71" s="17" t="s">
        <v>78</v>
      </c>
      <c r="X71" s="17" t="s">
        <v>122</v>
      </c>
      <c r="Y71" s="17" t="s">
        <v>64</v>
      </c>
      <c r="Z71" s="17" t="s">
        <v>43</v>
      </c>
      <c r="AA71" s="17" t="s">
        <v>60</v>
      </c>
      <c r="AB71" s="17" t="s">
        <v>47</v>
      </c>
      <c r="AC71" s="17" t="s">
        <v>78</v>
      </c>
      <c r="AD71" s="17" t="s">
        <v>122</v>
      </c>
      <c r="AE71" s="17" t="s">
        <v>64</v>
      </c>
    </row>
    <row r="72" ht="15.75" customHeight="1">
      <c r="A72" s="13">
        <v>71.0</v>
      </c>
      <c r="B72" s="26" t="s">
        <v>188</v>
      </c>
      <c r="C72" s="26" t="s">
        <v>41</v>
      </c>
      <c r="D72" s="14" t="s">
        <v>41</v>
      </c>
      <c r="E72" s="26" t="s">
        <v>71</v>
      </c>
      <c r="F72" s="14" t="s">
        <v>48</v>
      </c>
      <c r="G72" s="14" t="s">
        <v>84</v>
      </c>
      <c r="H72" s="15" t="s">
        <v>87</v>
      </c>
      <c r="I72" s="15" t="str">
        <f>TEXT(DATA!$J72,"[$-id-ID]mmmm")</f>
        <v>July</v>
      </c>
      <c r="J72" s="48">
        <v>46223.0</v>
      </c>
      <c r="K72" s="48">
        <v>46234.0</v>
      </c>
      <c r="L72" s="15" t="s">
        <v>64</v>
      </c>
      <c r="M72" s="15" t="s">
        <v>93</v>
      </c>
      <c r="N72" s="15" t="s">
        <v>41</v>
      </c>
      <c r="O72" s="15" t="s">
        <v>41</v>
      </c>
      <c r="P72" s="15" t="s">
        <v>71</v>
      </c>
      <c r="Q72" s="15" t="s">
        <v>48</v>
      </c>
      <c r="R72" s="15" t="s">
        <v>84</v>
      </c>
      <c r="S72" s="15" t="s">
        <v>64</v>
      </c>
      <c r="T72" s="15" t="s">
        <v>41</v>
      </c>
      <c r="U72" s="15" t="s">
        <v>41</v>
      </c>
      <c r="V72" s="15" t="s">
        <v>71</v>
      </c>
      <c r="W72" s="17" t="s">
        <v>48</v>
      </c>
      <c r="X72" s="17" t="s">
        <v>84</v>
      </c>
      <c r="Y72" s="17" t="s">
        <v>64</v>
      </c>
      <c r="Z72" s="17" t="s">
        <v>41</v>
      </c>
      <c r="AA72" s="17" t="s">
        <v>41</v>
      </c>
      <c r="AB72" s="17" t="s">
        <v>71</v>
      </c>
      <c r="AC72" s="17" t="s">
        <v>48</v>
      </c>
      <c r="AD72" s="17" t="s">
        <v>84</v>
      </c>
      <c r="AE72" s="17" t="s">
        <v>64</v>
      </c>
    </row>
    <row r="73" ht="15.75" customHeight="1">
      <c r="A73" s="13">
        <v>72.0</v>
      </c>
      <c r="B73" s="25" t="s">
        <v>189</v>
      </c>
      <c r="C73" s="25" t="s">
        <v>73</v>
      </c>
      <c r="D73" s="14" t="s">
        <v>60</v>
      </c>
      <c r="E73" s="25" t="s">
        <v>47</v>
      </c>
      <c r="F73" s="14" t="s">
        <v>190</v>
      </c>
      <c r="G73" s="14" t="s">
        <v>68</v>
      </c>
      <c r="H73" s="15" t="s">
        <v>87</v>
      </c>
      <c r="I73" s="15" t="str">
        <f>TEXT(DATA!$J73,"[$-id-ID]mmmm")</f>
        <v>July</v>
      </c>
      <c r="J73" s="36">
        <v>46223.0</v>
      </c>
      <c r="K73" s="36">
        <v>46234.0</v>
      </c>
      <c r="L73" s="15" t="s">
        <v>64</v>
      </c>
      <c r="M73" s="15" t="s">
        <v>93</v>
      </c>
      <c r="N73" s="15" t="s">
        <v>41</v>
      </c>
      <c r="O73" s="15" t="s">
        <v>60</v>
      </c>
      <c r="P73" s="15" t="s">
        <v>47</v>
      </c>
      <c r="Q73" s="15" t="s">
        <v>190</v>
      </c>
      <c r="R73" s="15" t="s">
        <v>68</v>
      </c>
      <c r="S73" s="15" t="s">
        <v>64</v>
      </c>
      <c r="T73" s="15" t="s">
        <v>41</v>
      </c>
      <c r="U73" s="15" t="s">
        <v>60</v>
      </c>
      <c r="V73" s="15" t="s">
        <v>47</v>
      </c>
      <c r="W73" s="17" t="s">
        <v>190</v>
      </c>
      <c r="X73" s="17" t="s">
        <v>68</v>
      </c>
      <c r="Y73" s="17" t="s">
        <v>64</v>
      </c>
      <c r="Z73" s="17" t="s">
        <v>41</v>
      </c>
      <c r="AA73" s="17" t="s">
        <v>60</v>
      </c>
      <c r="AB73" s="17" t="s">
        <v>47</v>
      </c>
      <c r="AC73" s="17" t="s">
        <v>190</v>
      </c>
      <c r="AD73" s="17" t="s">
        <v>68</v>
      </c>
      <c r="AE73" s="17" t="s">
        <v>64</v>
      </c>
    </row>
    <row r="74" ht="15.75" customHeight="1">
      <c r="A74" s="13">
        <v>73.0</v>
      </c>
      <c r="B74" s="25" t="s">
        <v>191</v>
      </c>
      <c r="C74" s="14" t="s">
        <v>43</v>
      </c>
      <c r="D74" s="14" t="s">
        <v>60</v>
      </c>
      <c r="E74" s="14" t="s">
        <v>47</v>
      </c>
      <c r="F74" s="14" t="s">
        <v>78</v>
      </c>
      <c r="G74" s="14" t="s">
        <v>192</v>
      </c>
      <c r="H74" s="15" t="s">
        <v>87</v>
      </c>
      <c r="I74" s="15" t="str">
        <f>TEXT(DATA!$J74,"[$-id-ID]mmmm")</f>
        <v>August</v>
      </c>
      <c r="J74" s="48">
        <v>46237.0</v>
      </c>
      <c r="K74" s="48">
        <v>46241.0</v>
      </c>
      <c r="L74" s="15" t="s">
        <v>51</v>
      </c>
      <c r="M74" s="15" t="s">
        <v>93</v>
      </c>
      <c r="N74" s="15" t="s">
        <v>43</v>
      </c>
      <c r="O74" s="15" t="s">
        <v>60</v>
      </c>
      <c r="P74" s="15" t="s">
        <v>47</v>
      </c>
      <c r="Q74" s="15" t="s">
        <v>78</v>
      </c>
      <c r="R74" s="15" t="s">
        <v>192</v>
      </c>
      <c r="S74" s="15" t="s">
        <v>51</v>
      </c>
      <c r="T74" s="15" t="s">
        <v>43</v>
      </c>
      <c r="U74" s="15" t="s">
        <v>60</v>
      </c>
      <c r="V74" s="15" t="s">
        <v>47</v>
      </c>
      <c r="W74" s="17" t="s">
        <v>78</v>
      </c>
      <c r="X74" s="17" t="s">
        <v>192</v>
      </c>
      <c r="Y74" s="17" t="s">
        <v>51</v>
      </c>
      <c r="Z74" s="17" t="s">
        <v>43</v>
      </c>
      <c r="AA74" s="17" t="s">
        <v>60</v>
      </c>
      <c r="AB74" s="17" t="s">
        <v>47</v>
      </c>
      <c r="AC74" s="17" t="s">
        <v>78</v>
      </c>
      <c r="AD74" s="17" t="s">
        <v>192</v>
      </c>
      <c r="AE74" s="17" t="s">
        <v>51</v>
      </c>
    </row>
    <row r="75" ht="15.75" customHeight="1">
      <c r="A75" s="13">
        <v>74.0</v>
      </c>
      <c r="B75" s="26" t="s">
        <v>193</v>
      </c>
      <c r="C75" s="26" t="s">
        <v>73</v>
      </c>
      <c r="D75" s="14" t="s">
        <v>60</v>
      </c>
      <c r="E75" s="26" t="s">
        <v>71</v>
      </c>
      <c r="F75" s="14" t="s">
        <v>75</v>
      </c>
      <c r="G75" s="14" t="s">
        <v>84</v>
      </c>
      <c r="H75" s="15" t="s">
        <v>87</v>
      </c>
      <c r="I75" s="15" t="str">
        <f>TEXT(DATA!$J75,"[$-id-ID]mmmm")</f>
        <v>August</v>
      </c>
      <c r="J75" s="45">
        <v>46237.0</v>
      </c>
      <c r="K75" s="45">
        <v>46241.0</v>
      </c>
      <c r="L75" s="15" t="s">
        <v>51</v>
      </c>
      <c r="M75" s="15" t="s">
        <v>93</v>
      </c>
      <c r="N75" s="15" t="s">
        <v>41</v>
      </c>
      <c r="O75" s="15" t="s">
        <v>60</v>
      </c>
      <c r="P75" s="15" t="s">
        <v>71</v>
      </c>
      <c r="Q75" s="15" t="s">
        <v>41</v>
      </c>
      <c r="R75" s="15" t="s">
        <v>84</v>
      </c>
      <c r="S75" s="15" t="s">
        <v>51</v>
      </c>
      <c r="T75" s="15" t="s">
        <v>41</v>
      </c>
      <c r="U75" s="15" t="s">
        <v>60</v>
      </c>
      <c r="V75" s="15" t="s">
        <v>71</v>
      </c>
      <c r="W75" s="17" t="s">
        <v>41</v>
      </c>
      <c r="X75" s="17" t="s">
        <v>84</v>
      </c>
      <c r="Y75" s="17" t="s">
        <v>51</v>
      </c>
      <c r="Z75" s="17" t="s">
        <v>41</v>
      </c>
      <c r="AA75" s="17" t="s">
        <v>60</v>
      </c>
      <c r="AB75" s="17" t="s">
        <v>71</v>
      </c>
      <c r="AC75" s="17" t="s">
        <v>41</v>
      </c>
      <c r="AD75" s="17" t="s">
        <v>84</v>
      </c>
      <c r="AE75" s="17" t="s">
        <v>51</v>
      </c>
    </row>
    <row r="76" ht="15.75" customHeight="1">
      <c r="A76" s="13">
        <v>75.0</v>
      </c>
      <c r="B76" s="26" t="s">
        <v>194</v>
      </c>
      <c r="C76" s="26" t="s">
        <v>41</v>
      </c>
      <c r="D76" s="26" t="s">
        <v>41</v>
      </c>
      <c r="E76" s="26" t="s">
        <v>47</v>
      </c>
      <c r="F76" s="14" t="s">
        <v>78</v>
      </c>
      <c r="G76" s="14" t="s">
        <v>192</v>
      </c>
      <c r="H76" s="15" t="s">
        <v>87</v>
      </c>
      <c r="I76" s="15" t="str">
        <f>TEXT(DATA!$J76,"[$-id-ID]mmmm")</f>
        <v>August</v>
      </c>
      <c r="J76" s="16">
        <v>46237.0</v>
      </c>
      <c r="K76" s="16">
        <v>46247.0</v>
      </c>
      <c r="L76" s="15" t="s">
        <v>51</v>
      </c>
      <c r="M76" s="15" t="s">
        <v>93</v>
      </c>
      <c r="N76" s="15" t="s">
        <v>41</v>
      </c>
      <c r="O76" s="15" t="s">
        <v>41</v>
      </c>
      <c r="P76" s="15" t="s">
        <v>47</v>
      </c>
      <c r="Q76" s="15" t="s">
        <v>78</v>
      </c>
      <c r="R76" s="15" t="s">
        <v>192</v>
      </c>
      <c r="S76" s="15" t="s">
        <v>51</v>
      </c>
      <c r="T76" s="15" t="s">
        <v>41</v>
      </c>
      <c r="U76" s="15" t="s">
        <v>41</v>
      </c>
      <c r="V76" s="15" t="s">
        <v>47</v>
      </c>
      <c r="W76" s="17" t="s">
        <v>78</v>
      </c>
      <c r="X76" s="17" t="s">
        <v>192</v>
      </c>
      <c r="Y76" s="17" t="s">
        <v>51</v>
      </c>
      <c r="Z76" s="17" t="s">
        <v>41</v>
      </c>
      <c r="AA76" s="17" t="s">
        <v>41</v>
      </c>
      <c r="AB76" s="17" t="s">
        <v>47</v>
      </c>
      <c r="AC76" s="17" t="s">
        <v>78</v>
      </c>
      <c r="AD76" s="17" t="s">
        <v>192</v>
      </c>
      <c r="AE76" s="17" t="s">
        <v>51</v>
      </c>
    </row>
    <row r="77" ht="15.75" customHeight="1">
      <c r="A77" s="13">
        <v>76.0</v>
      </c>
      <c r="B77" s="25" t="s">
        <v>195</v>
      </c>
      <c r="C77" s="25" t="s">
        <v>43</v>
      </c>
      <c r="D77" s="14" t="s">
        <v>60</v>
      </c>
      <c r="E77" s="25" t="s">
        <v>47</v>
      </c>
      <c r="F77" s="14" t="s">
        <v>78</v>
      </c>
      <c r="G77" s="14" t="s">
        <v>68</v>
      </c>
      <c r="H77" s="15" t="s">
        <v>87</v>
      </c>
      <c r="I77" s="15" t="str">
        <f>TEXT(DATA!$J77,"[$-id-ID]mmmm")</f>
        <v>August</v>
      </c>
      <c r="J77" s="36">
        <v>46237.0</v>
      </c>
      <c r="K77" s="36">
        <v>46241.0</v>
      </c>
      <c r="L77" s="15" t="s">
        <v>51</v>
      </c>
      <c r="M77" s="15" t="s">
        <v>93</v>
      </c>
      <c r="N77" s="15" t="s">
        <v>43</v>
      </c>
      <c r="O77" s="15" t="s">
        <v>60</v>
      </c>
      <c r="P77" s="15" t="s">
        <v>47</v>
      </c>
      <c r="Q77" s="15" t="s">
        <v>78</v>
      </c>
      <c r="R77" s="15" t="s">
        <v>68</v>
      </c>
      <c r="S77" s="15" t="s">
        <v>51</v>
      </c>
      <c r="T77" s="15" t="s">
        <v>43</v>
      </c>
      <c r="U77" s="15" t="s">
        <v>60</v>
      </c>
      <c r="V77" s="15" t="s">
        <v>47</v>
      </c>
      <c r="W77" s="17" t="s">
        <v>78</v>
      </c>
      <c r="X77" s="17" t="s">
        <v>68</v>
      </c>
      <c r="Y77" s="17" t="s">
        <v>51</v>
      </c>
      <c r="Z77" s="17" t="s">
        <v>43</v>
      </c>
      <c r="AA77" s="17" t="s">
        <v>60</v>
      </c>
      <c r="AB77" s="17" t="s">
        <v>47</v>
      </c>
      <c r="AC77" s="17" t="s">
        <v>78</v>
      </c>
      <c r="AD77" s="17" t="s">
        <v>68</v>
      </c>
      <c r="AE77" s="17" t="s">
        <v>51</v>
      </c>
    </row>
    <row r="78" ht="15.75" customHeight="1">
      <c r="A78" s="13">
        <v>77.0</v>
      </c>
      <c r="B78" s="25" t="s">
        <v>196</v>
      </c>
      <c r="C78" s="14" t="s">
        <v>41</v>
      </c>
      <c r="D78" s="14" t="s">
        <v>41</v>
      </c>
      <c r="E78" s="25" t="s">
        <v>41</v>
      </c>
      <c r="F78" s="14" t="s">
        <v>41</v>
      </c>
      <c r="G78" s="14" t="s">
        <v>68</v>
      </c>
      <c r="H78" s="15" t="s">
        <v>87</v>
      </c>
      <c r="I78" s="15" t="str">
        <f>TEXT(DATA!$J78,"[$-id-ID]mmmm")</f>
        <v>August</v>
      </c>
      <c r="J78" s="16">
        <v>46244.0</v>
      </c>
      <c r="K78" s="16">
        <v>46248.0</v>
      </c>
      <c r="L78" s="15" t="s">
        <v>64</v>
      </c>
      <c r="M78" s="15" t="s">
        <v>93</v>
      </c>
      <c r="N78" s="15" t="s">
        <v>41</v>
      </c>
      <c r="O78" s="15" t="s">
        <v>41</v>
      </c>
      <c r="P78" s="15" t="s">
        <v>41</v>
      </c>
      <c r="Q78" s="15" t="s">
        <v>41</v>
      </c>
      <c r="R78" s="15" t="s">
        <v>68</v>
      </c>
      <c r="S78" s="15" t="s">
        <v>64</v>
      </c>
      <c r="T78" s="15" t="s">
        <v>41</v>
      </c>
      <c r="U78" s="15" t="s">
        <v>41</v>
      </c>
      <c r="V78" s="15" t="s">
        <v>41</v>
      </c>
      <c r="W78" s="17" t="s">
        <v>41</v>
      </c>
      <c r="X78" s="17" t="s">
        <v>68</v>
      </c>
      <c r="Y78" s="17" t="s">
        <v>64</v>
      </c>
      <c r="Z78" s="17" t="s">
        <v>41</v>
      </c>
      <c r="AA78" s="17" t="s">
        <v>41</v>
      </c>
      <c r="AB78" s="17" t="s">
        <v>41</v>
      </c>
      <c r="AC78" s="17" t="s">
        <v>41</v>
      </c>
      <c r="AD78" s="17" t="s">
        <v>68</v>
      </c>
      <c r="AE78" s="17" t="s">
        <v>64</v>
      </c>
    </row>
    <row r="79" ht="15.75" customHeight="1">
      <c r="A79" s="13">
        <v>78.0</v>
      </c>
      <c r="B79" s="25" t="s">
        <v>197</v>
      </c>
      <c r="C79" s="14" t="s">
        <v>41</v>
      </c>
      <c r="D79" s="14" t="s">
        <v>41</v>
      </c>
      <c r="E79" s="25" t="s">
        <v>41</v>
      </c>
      <c r="F79" s="14" t="s">
        <v>41</v>
      </c>
      <c r="G79" s="14" t="s">
        <v>68</v>
      </c>
      <c r="H79" s="15" t="s">
        <v>87</v>
      </c>
      <c r="I79" s="15" t="str">
        <f>TEXT(DATA!$J79,"[$-id-ID]mmmm")</f>
        <v>August</v>
      </c>
      <c r="J79" s="36">
        <v>46244.0</v>
      </c>
      <c r="K79" s="36">
        <v>46248.0</v>
      </c>
      <c r="L79" s="15" t="s">
        <v>64</v>
      </c>
      <c r="M79" s="15" t="s">
        <v>93</v>
      </c>
      <c r="N79" s="15" t="s">
        <v>41</v>
      </c>
      <c r="O79" s="15" t="s">
        <v>41</v>
      </c>
      <c r="P79" s="15" t="s">
        <v>41</v>
      </c>
      <c r="Q79" s="15" t="s">
        <v>41</v>
      </c>
      <c r="R79" s="15" t="s">
        <v>68</v>
      </c>
      <c r="S79" s="15" t="s">
        <v>64</v>
      </c>
      <c r="T79" s="15" t="s">
        <v>41</v>
      </c>
      <c r="U79" s="15" t="s">
        <v>41</v>
      </c>
      <c r="V79" s="15" t="s">
        <v>41</v>
      </c>
      <c r="W79" s="17" t="s">
        <v>41</v>
      </c>
      <c r="X79" s="17" t="s">
        <v>68</v>
      </c>
      <c r="Y79" s="17" t="s">
        <v>64</v>
      </c>
      <c r="Z79" s="17" t="s">
        <v>41</v>
      </c>
      <c r="AA79" s="17" t="s">
        <v>41</v>
      </c>
      <c r="AB79" s="17" t="s">
        <v>41</v>
      </c>
      <c r="AC79" s="17" t="s">
        <v>41</v>
      </c>
      <c r="AD79" s="17" t="s">
        <v>68</v>
      </c>
      <c r="AE79" s="17" t="s">
        <v>64</v>
      </c>
    </row>
    <row r="80" ht="15.75" customHeight="1">
      <c r="A80" s="19">
        <v>79.0</v>
      </c>
      <c r="B80" s="27" t="s">
        <v>198</v>
      </c>
      <c r="C80" s="50"/>
      <c r="D80" s="14"/>
      <c r="E80" s="28"/>
      <c r="F80" s="29"/>
      <c r="G80" s="29"/>
      <c r="H80" s="29"/>
      <c r="I80" s="29"/>
      <c r="J80" s="47"/>
      <c r="K80" s="47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2"/>
      <c r="X80" s="32"/>
      <c r="Y80" s="32"/>
      <c r="Z80" s="32"/>
      <c r="AA80" s="32"/>
      <c r="AB80" s="32"/>
      <c r="AC80" s="32"/>
      <c r="AD80" s="32"/>
      <c r="AE80" s="32"/>
    </row>
    <row r="81" ht="15.75" customHeight="1">
      <c r="A81" s="51">
        <v>80.0</v>
      </c>
      <c r="B81" s="52" t="s">
        <v>199</v>
      </c>
      <c r="C81" s="53" t="s">
        <v>41</v>
      </c>
      <c r="D81" s="53" t="s">
        <v>41</v>
      </c>
      <c r="E81" s="54" t="s">
        <v>41</v>
      </c>
      <c r="F81" s="53" t="s">
        <v>41</v>
      </c>
      <c r="G81" s="53"/>
      <c r="H81" s="55" t="s">
        <v>87</v>
      </c>
      <c r="I81" s="55" t="str">
        <f>TEXT(DATA!$J81,"[$-id-ID]mmmm")</f>
        <v>August</v>
      </c>
      <c r="J81" s="56">
        <v>46252.0</v>
      </c>
      <c r="K81" s="56">
        <v>46255.0</v>
      </c>
      <c r="L81" s="55" t="s">
        <v>64</v>
      </c>
      <c r="M81" s="55" t="s">
        <v>93</v>
      </c>
      <c r="N81" s="55" t="s">
        <v>41</v>
      </c>
      <c r="O81" s="55" t="s">
        <v>41</v>
      </c>
      <c r="P81" s="55" t="s">
        <v>41</v>
      </c>
      <c r="Q81" s="55" t="s">
        <v>41</v>
      </c>
      <c r="R81" s="55"/>
      <c r="S81" s="55" t="s">
        <v>64</v>
      </c>
      <c r="T81" s="55" t="s">
        <v>41</v>
      </c>
      <c r="U81" s="55" t="s">
        <v>41</v>
      </c>
      <c r="V81" s="55" t="s">
        <v>41</v>
      </c>
      <c r="W81" s="57" t="s">
        <v>41</v>
      </c>
      <c r="X81" s="57"/>
      <c r="Y81" s="57" t="s">
        <v>64</v>
      </c>
      <c r="Z81" s="57" t="s">
        <v>41</v>
      </c>
      <c r="AA81" s="57" t="s">
        <v>41</v>
      </c>
      <c r="AB81" s="57" t="s">
        <v>41</v>
      </c>
      <c r="AC81" s="57" t="s">
        <v>41</v>
      </c>
      <c r="AD81" s="57"/>
      <c r="AE81" s="57" t="s">
        <v>64</v>
      </c>
    </row>
    <row r="82" ht="15.75" customHeight="1">
      <c r="A82" s="19">
        <v>81.0</v>
      </c>
      <c r="B82" s="27" t="s">
        <v>200</v>
      </c>
      <c r="C82" s="50"/>
      <c r="D82" s="14"/>
      <c r="E82" s="28"/>
      <c r="F82" s="29"/>
      <c r="G82" s="29"/>
      <c r="H82" s="29"/>
      <c r="I82" s="15" t="str">
        <f>IF(ISNUMBER(SEARCH("Januari",DATA!$J82)),"Januari",
IF(ISNUMBER(SEARCH("Februari",DATA!$J82)),"Februari",
IF(ISNUMBER(SEARCH("Maret",DATA!$J82)),"Maret",
IF(ISNUMBER(SEARCH("April",DATA!$J82)),"April",
IF(ISNUMBER(SEARCH("Mei",DATA!$J82)),"Mei",
IF(ISNUMBER(SEARCH("Juni",DATA!$J82)),"Juni",
IF(ISNUMBER(SEARCH("Juli",DATA!$J82)),"Juli",
IF(ISNUMBER(SEARCH("Agustus",DATA!$J82)),"Agustus",
IF(ISNUMBER(SEARCH("September",DATA!$J82)),"September",
IF(ISNUMBER(SEARCH("Oktober",DATA!$J82)),"Oktober",
IF(ISNUMBER(SEARCH("November",DATA!$J82)),"November",
IF(ISNUMBER(SEARCH("Desember",DATA!$J82)),"Desember",""))))))))))))</f>
        <v/>
      </c>
      <c r="J82" s="47"/>
      <c r="K82" s="47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2"/>
      <c r="X82" s="32"/>
      <c r="Y82" s="32"/>
      <c r="Z82" s="32"/>
      <c r="AA82" s="32"/>
      <c r="AB82" s="32"/>
      <c r="AC82" s="32"/>
      <c r="AD82" s="32"/>
      <c r="AE82" s="32"/>
    </row>
    <row r="83" ht="15.75" customHeight="1">
      <c r="A83" s="13">
        <v>82.0</v>
      </c>
      <c r="B83" s="25" t="s">
        <v>201</v>
      </c>
      <c r="C83" s="14" t="s">
        <v>41</v>
      </c>
      <c r="D83" s="14" t="s">
        <v>41</v>
      </c>
      <c r="E83" s="25" t="s">
        <v>47</v>
      </c>
      <c r="F83" s="14" t="s">
        <v>63</v>
      </c>
      <c r="G83" s="14" t="s">
        <v>49</v>
      </c>
      <c r="H83" s="15" t="s">
        <v>87</v>
      </c>
      <c r="I83" s="15" t="str">
        <f>TEXT(DATA!$J83,"[$-id-ID]mmmm")</f>
        <v>August</v>
      </c>
      <c r="J83" s="36">
        <v>46260.0</v>
      </c>
      <c r="K83" s="36">
        <v>46262.0</v>
      </c>
      <c r="L83" s="15" t="s">
        <v>64</v>
      </c>
      <c r="M83" s="15" t="s">
        <v>93</v>
      </c>
      <c r="N83" s="15" t="s">
        <v>41</v>
      </c>
      <c r="O83" s="15" t="s">
        <v>41</v>
      </c>
      <c r="P83" s="15" t="s">
        <v>47</v>
      </c>
      <c r="Q83" s="15" t="s">
        <v>63</v>
      </c>
      <c r="R83" s="15" t="s">
        <v>49</v>
      </c>
      <c r="S83" s="15" t="s">
        <v>64</v>
      </c>
      <c r="T83" s="15" t="s">
        <v>41</v>
      </c>
      <c r="U83" s="15" t="s">
        <v>41</v>
      </c>
      <c r="V83" s="15" t="s">
        <v>47</v>
      </c>
      <c r="W83" s="17" t="s">
        <v>63</v>
      </c>
      <c r="X83" s="17" t="s">
        <v>49</v>
      </c>
      <c r="Y83" s="17" t="s">
        <v>64</v>
      </c>
      <c r="Z83" s="17" t="s">
        <v>41</v>
      </c>
      <c r="AA83" s="17" t="s">
        <v>41</v>
      </c>
      <c r="AB83" s="17" t="s">
        <v>47</v>
      </c>
      <c r="AC83" s="17" t="s">
        <v>63</v>
      </c>
      <c r="AD83" s="17" t="s">
        <v>49</v>
      </c>
      <c r="AE83" s="17" t="s">
        <v>64</v>
      </c>
    </row>
    <row r="84" ht="15.75" customHeight="1">
      <c r="A84" s="13">
        <v>83.0</v>
      </c>
      <c r="B84" s="25" t="s">
        <v>202</v>
      </c>
      <c r="C84" s="14" t="s">
        <v>41</v>
      </c>
      <c r="D84" s="14" t="s">
        <v>41</v>
      </c>
      <c r="E84" s="25" t="s">
        <v>41</v>
      </c>
      <c r="F84" s="14" t="s">
        <v>41</v>
      </c>
      <c r="G84" s="14" t="s">
        <v>68</v>
      </c>
      <c r="H84" s="15" t="s">
        <v>87</v>
      </c>
      <c r="I84" s="15" t="str">
        <f>TEXT(DATA!$J84,"[$-id-ID]mmmm")</f>
        <v>August</v>
      </c>
      <c r="J84" s="16">
        <v>46265.0</v>
      </c>
      <c r="K84" s="16">
        <v>46269.0</v>
      </c>
      <c r="L84" s="15" t="s">
        <v>64</v>
      </c>
      <c r="M84" s="15" t="s">
        <v>93</v>
      </c>
      <c r="N84" s="15" t="s">
        <v>41</v>
      </c>
      <c r="O84" s="15" t="s">
        <v>41</v>
      </c>
      <c r="P84" s="15" t="s">
        <v>41</v>
      </c>
      <c r="Q84" s="15" t="s">
        <v>41</v>
      </c>
      <c r="R84" s="15" t="s">
        <v>68</v>
      </c>
      <c r="S84" s="15" t="s">
        <v>64</v>
      </c>
      <c r="T84" s="15" t="s">
        <v>41</v>
      </c>
      <c r="U84" s="15" t="s">
        <v>41</v>
      </c>
      <c r="V84" s="15" t="s">
        <v>41</v>
      </c>
      <c r="W84" s="17" t="s">
        <v>41</v>
      </c>
      <c r="X84" s="17" t="s">
        <v>68</v>
      </c>
      <c r="Y84" s="17" t="s">
        <v>64</v>
      </c>
      <c r="Z84" s="17" t="s">
        <v>41</v>
      </c>
      <c r="AA84" s="17" t="s">
        <v>41</v>
      </c>
      <c r="AB84" s="17" t="s">
        <v>41</v>
      </c>
      <c r="AC84" s="17" t="s">
        <v>41</v>
      </c>
      <c r="AD84" s="17" t="s">
        <v>68</v>
      </c>
      <c r="AE84" s="17" t="s">
        <v>64</v>
      </c>
    </row>
    <row r="85" ht="15.75" customHeight="1">
      <c r="A85" s="13">
        <v>84.0</v>
      </c>
      <c r="B85" s="25" t="s">
        <v>203</v>
      </c>
      <c r="C85" s="14" t="s">
        <v>41</v>
      </c>
      <c r="D85" s="14" t="s">
        <v>41</v>
      </c>
      <c r="E85" s="25" t="s">
        <v>41</v>
      </c>
      <c r="F85" s="14" t="s">
        <v>41</v>
      </c>
      <c r="G85" s="14" t="s">
        <v>68</v>
      </c>
      <c r="H85" s="15" t="s">
        <v>87</v>
      </c>
      <c r="I85" s="15" t="str">
        <f>TEXT(DATA!$J85,"[$-id-ID]mmmm")</f>
        <v>August</v>
      </c>
      <c r="J85" s="36">
        <v>46265.0</v>
      </c>
      <c r="K85" s="36">
        <v>46269.0</v>
      </c>
      <c r="L85" s="15" t="s">
        <v>64</v>
      </c>
      <c r="M85" s="15" t="s">
        <v>93</v>
      </c>
      <c r="N85" s="15" t="s">
        <v>41</v>
      </c>
      <c r="O85" s="15" t="s">
        <v>41</v>
      </c>
      <c r="P85" s="15" t="s">
        <v>41</v>
      </c>
      <c r="Q85" s="15" t="s">
        <v>41</v>
      </c>
      <c r="R85" s="15" t="s">
        <v>68</v>
      </c>
      <c r="S85" s="15" t="s">
        <v>64</v>
      </c>
      <c r="T85" s="15" t="s">
        <v>41</v>
      </c>
      <c r="U85" s="15" t="s">
        <v>41</v>
      </c>
      <c r="V85" s="15" t="s">
        <v>41</v>
      </c>
      <c r="W85" s="17" t="s">
        <v>41</v>
      </c>
      <c r="X85" s="17" t="s">
        <v>68</v>
      </c>
      <c r="Y85" s="17" t="s">
        <v>64</v>
      </c>
      <c r="Z85" s="17" t="s">
        <v>41</v>
      </c>
      <c r="AA85" s="17" t="s">
        <v>41</v>
      </c>
      <c r="AB85" s="17" t="s">
        <v>41</v>
      </c>
      <c r="AC85" s="17" t="s">
        <v>41</v>
      </c>
      <c r="AD85" s="17" t="s">
        <v>68</v>
      </c>
      <c r="AE85" s="17" t="s">
        <v>64</v>
      </c>
    </row>
    <row r="86" ht="15.75" customHeight="1">
      <c r="A86" s="13">
        <v>85.0</v>
      </c>
      <c r="B86" s="14" t="s">
        <v>204</v>
      </c>
      <c r="C86" s="14" t="s">
        <v>43</v>
      </c>
      <c r="D86" s="14" t="s">
        <v>60</v>
      </c>
      <c r="E86" s="14" t="s">
        <v>47</v>
      </c>
      <c r="F86" s="14" t="s">
        <v>78</v>
      </c>
      <c r="G86" s="14" t="s">
        <v>49</v>
      </c>
      <c r="H86" s="15" t="s">
        <v>87</v>
      </c>
      <c r="I86" s="15" t="str">
        <f>TEXT(DATA!$J86,"[$-id-ID]mmmm")</f>
        <v>September</v>
      </c>
      <c r="J86" s="16">
        <v>46273.0</v>
      </c>
      <c r="K86" s="16">
        <v>46273.0</v>
      </c>
      <c r="L86" s="15" t="s">
        <v>64</v>
      </c>
      <c r="M86" s="15" t="s">
        <v>93</v>
      </c>
      <c r="N86" s="15" t="s">
        <v>43</v>
      </c>
      <c r="O86" s="15" t="s">
        <v>60</v>
      </c>
      <c r="P86" s="15" t="s">
        <v>47</v>
      </c>
      <c r="Q86" s="15" t="s">
        <v>78</v>
      </c>
      <c r="R86" s="15" t="s">
        <v>49</v>
      </c>
      <c r="S86" s="15" t="s">
        <v>64</v>
      </c>
      <c r="T86" s="15" t="s">
        <v>43</v>
      </c>
      <c r="U86" s="15" t="s">
        <v>60</v>
      </c>
      <c r="V86" s="15" t="s">
        <v>47</v>
      </c>
      <c r="W86" s="17" t="s">
        <v>78</v>
      </c>
      <c r="X86" s="17" t="s">
        <v>49</v>
      </c>
      <c r="Y86" s="17" t="s">
        <v>64</v>
      </c>
      <c r="Z86" s="17" t="s">
        <v>43</v>
      </c>
      <c r="AA86" s="17" t="s">
        <v>60</v>
      </c>
      <c r="AB86" s="17" t="s">
        <v>47</v>
      </c>
      <c r="AC86" s="17" t="s">
        <v>78</v>
      </c>
      <c r="AD86" s="17" t="s">
        <v>49</v>
      </c>
      <c r="AE86" s="17" t="s">
        <v>64</v>
      </c>
    </row>
    <row r="87" ht="15.75" customHeight="1">
      <c r="A87" s="13">
        <v>86.0</v>
      </c>
      <c r="B87" s="25" t="s">
        <v>205</v>
      </c>
      <c r="C87" s="14" t="s">
        <v>41</v>
      </c>
      <c r="D87" s="14" t="s">
        <v>41</v>
      </c>
      <c r="E87" s="25" t="s">
        <v>41</v>
      </c>
      <c r="F87" s="14" t="s">
        <v>41</v>
      </c>
      <c r="G87" s="14" t="s">
        <v>68</v>
      </c>
      <c r="H87" s="15" t="s">
        <v>87</v>
      </c>
      <c r="I87" s="15" t="str">
        <f>TEXT(DATA!$J87,"[$-id-ID]mmmm")</f>
        <v>September</v>
      </c>
      <c r="J87" s="36">
        <v>46279.0</v>
      </c>
      <c r="K87" s="36">
        <v>46283.0</v>
      </c>
      <c r="L87" s="15" t="s">
        <v>51</v>
      </c>
      <c r="M87" s="15" t="s">
        <v>93</v>
      </c>
      <c r="N87" s="15" t="s">
        <v>41</v>
      </c>
      <c r="O87" s="15" t="s">
        <v>41</v>
      </c>
      <c r="P87" s="15" t="s">
        <v>41</v>
      </c>
      <c r="Q87" s="15" t="s">
        <v>41</v>
      </c>
      <c r="R87" s="15" t="s">
        <v>68</v>
      </c>
      <c r="S87" s="15" t="s">
        <v>51</v>
      </c>
      <c r="T87" s="15" t="s">
        <v>41</v>
      </c>
      <c r="U87" s="15" t="s">
        <v>41</v>
      </c>
      <c r="V87" s="15" t="s">
        <v>41</v>
      </c>
      <c r="W87" s="17" t="s">
        <v>41</v>
      </c>
      <c r="X87" s="17" t="s">
        <v>68</v>
      </c>
      <c r="Y87" s="17" t="s">
        <v>51</v>
      </c>
      <c r="Z87" s="17" t="s">
        <v>41</v>
      </c>
      <c r="AA87" s="17" t="s">
        <v>41</v>
      </c>
      <c r="AB87" s="17" t="s">
        <v>41</v>
      </c>
      <c r="AC87" s="17" t="s">
        <v>41</v>
      </c>
      <c r="AD87" s="17" t="s">
        <v>68</v>
      </c>
      <c r="AE87" s="17" t="s">
        <v>51</v>
      </c>
    </row>
    <row r="88" ht="15.75" customHeight="1">
      <c r="A88" s="13">
        <v>87.0</v>
      </c>
      <c r="B88" s="25" t="s">
        <v>206</v>
      </c>
      <c r="C88" s="14" t="s">
        <v>41</v>
      </c>
      <c r="D88" s="14" t="s">
        <v>41</v>
      </c>
      <c r="E88" s="25" t="s">
        <v>41</v>
      </c>
      <c r="F88" s="14" t="s">
        <v>41</v>
      </c>
      <c r="G88" s="14" t="s">
        <v>68</v>
      </c>
      <c r="H88" s="15" t="s">
        <v>87</v>
      </c>
      <c r="I88" s="15" t="str">
        <f>TEXT(DATA!$J88,"[$-id-ID]mmmm")</f>
        <v>September</v>
      </c>
      <c r="J88" s="16">
        <v>46279.0</v>
      </c>
      <c r="K88" s="16">
        <v>46283.0</v>
      </c>
      <c r="L88" s="15" t="s">
        <v>64</v>
      </c>
      <c r="M88" s="15" t="s">
        <v>93</v>
      </c>
      <c r="N88" s="15" t="s">
        <v>41</v>
      </c>
      <c r="O88" s="15" t="s">
        <v>41</v>
      </c>
      <c r="P88" s="15" t="s">
        <v>41</v>
      </c>
      <c r="Q88" s="15" t="s">
        <v>41</v>
      </c>
      <c r="R88" s="15" t="s">
        <v>68</v>
      </c>
      <c r="S88" s="15" t="s">
        <v>64</v>
      </c>
      <c r="T88" s="15" t="s">
        <v>41</v>
      </c>
      <c r="U88" s="15" t="s">
        <v>41</v>
      </c>
      <c r="V88" s="15" t="s">
        <v>41</v>
      </c>
      <c r="W88" s="17" t="s">
        <v>41</v>
      </c>
      <c r="X88" s="17" t="s">
        <v>68</v>
      </c>
      <c r="Y88" s="17" t="s">
        <v>64</v>
      </c>
      <c r="Z88" s="17" t="s">
        <v>41</v>
      </c>
      <c r="AA88" s="17" t="s">
        <v>41</v>
      </c>
      <c r="AB88" s="17" t="s">
        <v>41</v>
      </c>
      <c r="AC88" s="17" t="s">
        <v>41</v>
      </c>
      <c r="AD88" s="17" t="s">
        <v>68</v>
      </c>
      <c r="AE88" s="17" t="s">
        <v>64</v>
      </c>
    </row>
    <row r="89" ht="15.75" customHeight="1">
      <c r="A89" s="13">
        <v>88.0</v>
      </c>
      <c r="B89" s="25" t="s">
        <v>207</v>
      </c>
      <c r="C89" s="14" t="s">
        <v>41</v>
      </c>
      <c r="D89" s="14" t="s">
        <v>41</v>
      </c>
      <c r="E89" s="25" t="s">
        <v>41</v>
      </c>
      <c r="F89" s="14" t="s">
        <v>41</v>
      </c>
      <c r="G89" s="14" t="s">
        <v>68</v>
      </c>
      <c r="H89" s="15" t="s">
        <v>87</v>
      </c>
      <c r="I89" s="15" t="str">
        <f>TEXT(DATA!$J89,"[$-id-ID]mmmm")</f>
        <v>September</v>
      </c>
      <c r="J89" s="36">
        <v>46293.0</v>
      </c>
      <c r="K89" s="36">
        <v>46297.0</v>
      </c>
      <c r="L89" s="15" t="s">
        <v>51</v>
      </c>
      <c r="M89" s="15" t="s">
        <v>93</v>
      </c>
      <c r="N89" s="15" t="s">
        <v>41</v>
      </c>
      <c r="O89" s="15" t="s">
        <v>41</v>
      </c>
      <c r="P89" s="15" t="s">
        <v>41</v>
      </c>
      <c r="Q89" s="15" t="s">
        <v>41</v>
      </c>
      <c r="R89" s="15" t="s">
        <v>68</v>
      </c>
      <c r="S89" s="15" t="s">
        <v>51</v>
      </c>
      <c r="T89" s="15" t="s">
        <v>41</v>
      </c>
      <c r="U89" s="15" t="s">
        <v>41</v>
      </c>
      <c r="V89" s="15" t="s">
        <v>41</v>
      </c>
      <c r="W89" s="17" t="s">
        <v>41</v>
      </c>
      <c r="X89" s="17" t="s">
        <v>68</v>
      </c>
      <c r="Y89" s="17" t="s">
        <v>51</v>
      </c>
      <c r="Z89" s="17" t="s">
        <v>41</v>
      </c>
      <c r="AA89" s="17" t="s">
        <v>41</v>
      </c>
      <c r="AB89" s="17" t="s">
        <v>41</v>
      </c>
      <c r="AC89" s="17" t="s">
        <v>41</v>
      </c>
      <c r="AD89" s="17" t="s">
        <v>68</v>
      </c>
      <c r="AE89" s="17" t="s">
        <v>51</v>
      </c>
    </row>
    <row r="90" ht="15.75" customHeight="1">
      <c r="A90" s="13">
        <v>89.0</v>
      </c>
      <c r="B90" s="25" t="s">
        <v>208</v>
      </c>
      <c r="C90" s="14" t="s">
        <v>41</v>
      </c>
      <c r="D90" s="14" t="s">
        <v>41</v>
      </c>
      <c r="E90" s="25" t="s">
        <v>41</v>
      </c>
      <c r="F90" s="14" t="s">
        <v>41</v>
      </c>
      <c r="G90" s="14" t="s">
        <v>68</v>
      </c>
      <c r="H90" s="15" t="s">
        <v>87</v>
      </c>
      <c r="I90" s="15" t="str">
        <f>TEXT(DATA!$J90,"[$-id-ID]mmmm")</f>
        <v>September</v>
      </c>
      <c r="J90" s="16">
        <v>46293.0</v>
      </c>
      <c r="K90" s="16">
        <v>46297.0</v>
      </c>
      <c r="L90" s="15" t="s">
        <v>51</v>
      </c>
      <c r="M90" s="15" t="s">
        <v>93</v>
      </c>
      <c r="N90" s="15" t="s">
        <v>41</v>
      </c>
      <c r="O90" s="15" t="s">
        <v>41</v>
      </c>
      <c r="P90" s="15" t="s">
        <v>41</v>
      </c>
      <c r="Q90" s="15" t="s">
        <v>41</v>
      </c>
      <c r="R90" s="15" t="s">
        <v>68</v>
      </c>
      <c r="S90" s="15" t="s">
        <v>51</v>
      </c>
      <c r="T90" s="15" t="s">
        <v>41</v>
      </c>
      <c r="U90" s="15" t="s">
        <v>41</v>
      </c>
      <c r="V90" s="15" t="s">
        <v>41</v>
      </c>
      <c r="W90" s="17" t="s">
        <v>41</v>
      </c>
      <c r="X90" s="17" t="s">
        <v>68</v>
      </c>
      <c r="Y90" s="17" t="s">
        <v>51</v>
      </c>
      <c r="Z90" s="17" t="s">
        <v>41</v>
      </c>
      <c r="AA90" s="17" t="s">
        <v>41</v>
      </c>
      <c r="AB90" s="17" t="s">
        <v>41</v>
      </c>
      <c r="AC90" s="17" t="s">
        <v>41</v>
      </c>
      <c r="AD90" s="17" t="s">
        <v>68</v>
      </c>
      <c r="AE90" s="17" t="s">
        <v>51</v>
      </c>
    </row>
    <row r="91" ht="15.75" customHeight="1">
      <c r="A91" s="13">
        <v>90.0</v>
      </c>
      <c r="B91" s="25" t="s">
        <v>209</v>
      </c>
      <c r="C91" s="14" t="s">
        <v>41</v>
      </c>
      <c r="D91" s="14" t="s">
        <v>41</v>
      </c>
      <c r="E91" s="25" t="s">
        <v>41</v>
      </c>
      <c r="F91" s="14" t="s">
        <v>41</v>
      </c>
      <c r="G91" s="14" t="s">
        <v>68</v>
      </c>
      <c r="H91" s="15" t="s">
        <v>88</v>
      </c>
      <c r="I91" s="15" t="str">
        <f>TEXT(DATA!$J91,"[$-id-ID]mmmm")</f>
        <v>October</v>
      </c>
      <c r="J91" s="36">
        <v>46300.0</v>
      </c>
      <c r="K91" s="36">
        <v>46311.0</v>
      </c>
      <c r="L91" s="15" t="s">
        <v>64</v>
      </c>
      <c r="M91" s="15" t="s">
        <v>93</v>
      </c>
      <c r="N91" s="15" t="s">
        <v>41</v>
      </c>
      <c r="O91" s="15" t="s">
        <v>41</v>
      </c>
      <c r="P91" s="17" t="s">
        <v>41</v>
      </c>
      <c r="Q91" s="15" t="s">
        <v>41</v>
      </c>
      <c r="R91" s="15" t="s">
        <v>68</v>
      </c>
      <c r="S91" s="15" t="s">
        <v>64</v>
      </c>
      <c r="T91" s="15" t="s">
        <v>41</v>
      </c>
      <c r="U91" s="15" t="s">
        <v>41</v>
      </c>
      <c r="V91" s="15" t="s">
        <v>41</v>
      </c>
      <c r="W91" s="17" t="s">
        <v>41</v>
      </c>
      <c r="X91" s="17" t="s">
        <v>68</v>
      </c>
      <c r="Y91" s="17" t="s">
        <v>64</v>
      </c>
      <c r="Z91" s="17" t="s">
        <v>41</v>
      </c>
      <c r="AA91" s="17" t="s">
        <v>41</v>
      </c>
      <c r="AB91" s="17" t="s">
        <v>41</v>
      </c>
      <c r="AC91" s="17" t="s">
        <v>41</v>
      </c>
      <c r="AD91" s="17" t="s">
        <v>68</v>
      </c>
      <c r="AE91" s="17" t="s">
        <v>64</v>
      </c>
    </row>
    <row r="92" ht="15.75" customHeight="1">
      <c r="A92" s="13">
        <v>91.0</v>
      </c>
      <c r="B92" s="25" t="s">
        <v>210</v>
      </c>
      <c r="C92" s="14" t="s">
        <v>41</v>
      </c>
      <c r="D92" s="14" t="s">
        <v>41</v>
      </c>
      <c r="E92" s="25" t="s">
        <v>41</v>
      </c>
      <c r="F92" s="14" t="s">
        <v>41</v>
      </c>
      <c r="G92" s="14" t="s">
        <v>68</v>
      </c>
      <c r="H92" s="15" t="s">
        <v>88</v>
      </c>
      <c r="I92" s="15" t="str">
        <f>TEXT(DATA!$J92,"[$-id-ID]mmmm")</f>
        <v>October</v>
      </c>
      <c r="J92" s="16">
        <v>46321.0</v>
      </c>
      <c r="K92" s="16">
        <v>46325.0</v>
      </c>
      <c r="L92" s="15" t="s">
        <v>64</v>
      </c>
      <c r="M92" s="15" t="s">
        <v>93</v>
      </c>
      <c r="N92" s="15" t="s">
        <v>41</v>
      </c>
      <c r="O92" s="15" t="s">
        <v>41</v>
      </c>
      <c r="P92" s="15" t="s">
        <v>41</v>
      </c>
      <c r="Q92" s="15" t="s">
        <v>41</v>
      </c>
      <c r="R92" s="17" t="s">
        <v>68</v>
      </c>
      <c r="S92" s="15" t="s">
        <v>64</v>
      </c>
      <c r="T92" s="15" t="s">
        <v>41</v>
      </c>
      <c r="U92" s="15" t="s">
        <v>41</v>
      </c>
      <c r="V92" s="15" t="s">
        <v>41</v>
      </c>
      <c r="W92" s="17" t="s">
        <v>41</v>
      </c>
      <c r="X92" s="17" t="s">
        <v>68</v>
      </c>
      <c r="Y92" s="17" t="s">
        <v>64</v>
      </c>
      <c r="Z92" s="17" t="s">
        <v>41</v>
      </c>
      <c r="AA92" s="17" t="s">
        <v>41</v>
      </c>
      <c r="AB92" s="17" t="s">
        <v>41</v>
      </c>
      <c r="AC92" s="17" t="s">
        <v>41</v>
      </c>
      <c r="AD92" s="17" t="s">
        <v>68</v>
      </c>
      <c r="AE92" s="17" t="s">
        <v>64</v>
      </c>
    </row>
    <row r="93" ht="15.75" customHeight="1">
      <c r="A93" s="13">
        <v>92.0</v>
      </c>
      <c r="B93" s="25" t="s">
        <v>211</v>
      </c>
      <c r="C93" s="25" t="s">
        <v>45</v>
      </c>
      <c r="D93" s="14" t="s">
        <v>60</v>
      </c>
      <c r="E93" s="25" t="s">
        <v>71</v>
      </c>
      <c r="F93" s="14" t="s">
        <v>167</v>
      </c>
      <c r="G93" s="14" t="s">
        <v>68</v>
      </c>
      <c r="H93" s="15" t="s">
        <v>88</v>
      </c>
      <c r="I93" s="15" t="str">
        <f>TEXT(DATA!$J93,"[$-id-ID]mmmm")</f>
        <v>November</v>
      </c>
      <c r="J93" s="36">
        <v>46329.0</v>
      </c>
      <c r="K93" s="36">
        <v>46332.0</v>
      </c>
      <c r="L93" s="15" t="s">
        <v>64</v>
      </c>
      <c r="M93" s="15" t="s">
        <v>93</v>
      </c>
      <c r="N93" s="15" t="s">
        <v>45</v>
      </c>
      <c r="O93" s="15" t="s">
        <v>60</v>
      </c>
      <c r="P93" s="15" t="s">
        <v>71</v>
      </c>
      <c r="Q93" s="15" t="s">
        <v>41</v>
      </c>
      <c r="R93" s="15" t="s">
        <v>68</v>
      </c>
      <c r="S93" s="17" t="s">
        <v>64</v>
      </c>
      <c r="T93" s="15" t="s">
        <v>45</v>
      </c>
      <c r="U93" s="15" t="s">
        <v>60</v>
      </c>
      <c r="V93" s="15" t="s">
        <v>71</v>
      </c>
      <c r="W93" s="17" t="s">
        <v>41</v>
      </c>
      <c r="X93" s="17" t="s">
        <v>68</v>
      </c>
      <c r="Y93" s="17" t="s">
        <v>64</v>
      </c>
      <c r="Z93" s="17" t="s">
        <v>45</v>
      </c>
      <c r="AA93" s="17" t="s">
        <v>60</v>
      </c>
      <c r="AB93" s="17" t="s">
        <v>71</v>
      </c>
      <c r="AC93" s="17" t="s">
        <v>41</v>
      </c>
      <c r="AD93" s="17" t="s">
        <v>68</v>
      </c>
      <c r="AE93" s="17" t="s">
        <v>64</v>
      </c>
    </row>
    <row r="94" ht="15.75" customHeight="1">
      <c r="A94" s="13">
        <v>93.0</v>
      </c>
      <c r="B94" s="25" t="s">
        <v>212</v>
      </c>
      <c r="C94" s="25" t="s">
        <v>42</v>
      </c>
      <c r="D94" s="14" t="s">
        <v>59</v>
      </c>
      <c r="E94" s="25" t="s">
        <v>71</v>
      </c>
      <c r="F94" s="14" t="s">
        <v>80</v>
      </c>
      <c r="G94" s="14" t="s">
        <v>68</v>
      </c>
      <c r="H94" s="15" t="s">
        <v>88</v>
      </c>
      <c r="I94" s="15" t="str">
        <f>TEXT(DATA!$J94,"[$-id-ID]mmmm")</f>
        <v>November</v>
      </c>
      <c r="J94" s="16">
        <v>46336.0</v>
      </c>
      <c r="K94" s="16">
        <v>46339.0</v>
      </c>
      <c r="L94" s="15" t="s">
        <v>51</v>
      </c>
      <c r="M94" s="15" t="s">
        <v>93</v>
      </c>
      <c r="N94" s="15" t="s">
        <v>42</v>
      </c>
      <c r="O94" s="15" t="s">
        <v>59</v>
      </c>
      <c r="P94" s="15" t="s">
        <v>71</v>
      </c>
      <c r="Q94" s="15" t="s">
        <v>80</v>
      </c>
      <c r="R94" s="15" t="s">
        <v>68</v>
      </c>
      <c r="S94" s="15" t="s">
        <v>51</v>
      </c>
      <c r="T94" s="17" t="s">
        <v>42</v>
      </c>
      <c r="U94" s="15" t="s">
        <v>59</v>
      </c>
      <c r="V94" s="15" t="s">
        <v>71</v>
      </c>
      <c r="W94" s="17" t="s">
        <v>80</v>
      </c>
      <c r="X94" s="17" t="s">
        <v>68</v>
      </c>
      <c r="Y94" s="17" t="s">
        <v>51</v>
      </c>
      <c r="Z94" s="17" t="s">
        <v>42</v>
      </c>
      <c r="AA94" s="17" t="s">
        <v>59</v>
      </c>
      <c r="AB94" s="17" t="s">
        <v>71</v>
      </c>
      <c r="AC94" s="17" t="s">
        <v>80</v>
      </c>
      <c r="AD94" s="17" t="s">
        <v>68</v>
      </c>
      <c r="AE94" s="17" t="s">
        <v>51</v>
      </c>
    </row>
    <row r="95" ht="15.75" customHeight="1">
      <c r="A95" s="58">
        <v>94.0</v>
      </c>
      <c r="B95" s="59" t="s">
        <v>213</v>
      </c>
      <c r="C95" s="59" t="s">
        <v>43</v>
      </c>
      <c r="D95" s="14" t="s">
        <v>60</v>
      </c>
      <c r="E95" s="59" t="s">
        <v>47</v>
      </c>
      <c r="F95" s="59" t="s">
        <v>78</v>
      </c>
      <c r="G95" s="59" t="s">
        <v>49</v>
      </c>
      <c r="H95" s="60" t="s">
        <v>88</v>
      </c>
      <c r="I95" s="15" t="str">
        <f>TEXT(DATA!$J95,"[$-id-ID]mmmm")</f>
        <v>November</v>
      </c>
      <c r="J95" s="61">
        <v>46344.0</v>
      </c>
      <c r="K95" s="61">
        <v>46344.0</v>
      </c>
      <c r="L95" s="60" t="s">
        <v>51</v>
      </c>
      <c r="M95" s="60" t="s">
        <v>93</v>
      </c>
      <c r="N95" s="15" t="s">
        <v>43</v>
      </c>
      <c r="O95" s="15" t="s">
        <v>60</v>
      </c>
      <c r="P95" s="15" t="s">
        <v>47</v>
      </c>
      <c r="Q95" s="15" t="s">
        <v>78</v>
      </c>
      <c r="R95" s="15" t="s">
        <v>49</v>
      </c>
      <c r="S95" s="15" t="s">
        <v>51</v>
      </c>
      <c r="T95" s="17" t="s">
        <v>43</v>
      </c>
      <c r="U95" s="15" t="s">
        <v>60</v>
      </c>
      <c r="V95" s="15" t="s">
        <v>47</v>
      </c>
      <c r="W95" s="17" t="s">
        <v>78</v>
      </c>
      <c r="X95" s="17" t="s">
        <v>49</v>
      </c>
      <c r="Y95" s="17" t="s">
        <v>51</v>
      </c>
      <c r="Z95" s="17" t="s">
        <v>43</v>
      </c>
      <c r="AA95" s="17" t="s">
        <v>60</v>
      </c>
      <c r="AB95" s="17" t="s">
        <v>47</v>
      </c>
      <c r="AC95" s="17" t="s">
        <v>78</v>
      </c>
      <c r="AD95" s="17" t="s">
        <v>49</v>
      </c>
      <c r="AE95" s="17" t="s">
        <v>51</v>
      </c>
    </row>
    <row r="96" ht="15.75" customHeight="1">
      <c r="M96" s="62"/>
    </row>
    <row r="97" ht="15.75" customHeight="1">
      <c r="M97" s="62"/>
    </row>
    <row r="98" ht="15.75" customHeight="1">
      <c r="H98" s="63"/>
      <c r="M98" s="62"/>
    </row>
    <row r="99" ht="15.75" customHeight="1">
      <c r="M99" s="62"/>
    </row>
    <row r="100" ht="15.75" customHeight="1">
      <c r="M100" s="62"/>
    </row>
    <row r="101" ht="15.75" customHeight="1">
      <c r="M101" s="62"/>
    </row>
    <row r="102" ht="15.75" customHeight="1">
      <c r="M102" s="62"/>
    </row>
    <row r="103" ht="15.75" customHeight="1">
      <c r="M103" s="62"/>
    </row>
    <row r="104" ht="15.75" customHeight="1">
      <c r="M104" s="62"/>
    </row>
    <row r="105" ht="15.75" customHeight="1">
      <c r="M105" s="62"/>
    </row>
    <row r="106" ht="15.75" customHeight="1">
      <c r="M106" s="62"/>
    </row>
    <row r="107" ht="15.75" customHeight="1">
      <c r="M107" s="62"/>
    </row>
    <row r="108" ht="15.75" customHeight="1">
      <c r="M108" s="62"/>
    </row>
    <row r="109" ht="15.75" customHeight="1">
      <c r="M109" s="62"/>
    </row>
    <row r="110" ht="15.75" customHeight="1">
      <c r="M110" s="62"/>
    </row>
    <row r="111" ht="15.75" customHeight="1">
      <c r="M111" s="62"/>
    </row>
    <row r="112" ht="15.75" customHeight="1">
      <c r="M112" s="62"/>
    </row>
    <row r="113" ht="15.75" customHeight="1">
      <c r="M113" s="62"/>
    </row>
    <row r="114" ht="15.75" customHeight="1">
      <c r="M114" s="62"/>
    </row>
    <row r="115" ht="15.75" customHeight="1">
      <c r="M115" s="62"/>
    </row>
    <row r="116" ht="15.75" customHeight="1">
      <c r="M116" s="62"/>
    </row>
    <row r="117" ht="15.75" customHeight="1">
      <c r="M117" s="62"/>
    </row>
    <row r="118" ht="15.75" customHeight="1">
      <c r="M118" s="62"/>
    </row>
    <row r="119" ht="15.75" customHeight="1">
      <c r="M119" s="62"/>
    </row>
    <row r="120" ht="15.75" customHeight="1">
      <c r="M120" s="62"/>
    </row>
    <row r="121" ht="15.75" customHeight="1">
      <c r="M121" s="62"/>
    </row>
    <row r="122" ht="15.75" customHeight="1">
      <c r="M122" s="62"/>
    </row>
    <row r="123" ht="15.75" customHeight="1">
      <c r="M123" s="62"/>
    </row>
    <row r="124" ht="15.75" customHeight="1">
      <c r="M124" s="62"/>
    </row>
    <row r="125" ht="15.75" customHeight="1">
      <c r="M125" s="62"/>
    </row>
    <row r="126" ht="15.75" customHeight="1">
      <c r="M126" s="62"/>
    </row>
    <row r="127" ht="15.75" customHeight="1">
      <c r="M127" s="62"/>
    </row>
    <row r="128" ht="15.75" customHeight="1">
      <c r="M128" s="62"/>
    </row>
    <row r="129" ht="15.75" customHeight="1">
      <c r="M129" s="62"/>
    </row>
    <row r="130" ht="15.75" customHeight="1">
      <c r="M130" s="62"/>
    </row>
    <row r="131" ht="15.75" customHeight="1">
      <c r="M131" s="62"/>
    </row>
    <row r="132" ht="15.75" customHeight="1">
      <c r="M132" s="62"/>
    </row>
    <row r="133" ht="15.75" customHeight="1">
      <c r="M133" s="62"/>
    </row>
    <row r="134" ht="15.75" customHeight="1">
      <c r="M134" s="62"/>
    </row>
    <row r="135" ht="15.75" customHeight="1">
      <c r="M135" s="62"/>
    </row>
    <row r="136" ht="15.75" customHeight="1">
      <c r="M136" s="62"/>
    </row>
    <row r="137" ht="15.75" customHeight="1">
      <c r="M137" s="62"/>
    </row>
    <row r="138" ht="15.75" customHeight="1">
      <c r="M138" s="62"/>
    </row>
    <row r="139" ht="15.75" customHeight="1">
      <c r="M139" s="62"/>
    </row>
    <row r="140" ht="15.75" customHeight="1">
      <c r="M140" s="62"/>
    </row>
    <row r="141" ht="15.75" customHeight="1">
      <c r="M141" s="62"/>
    </row>
    <row r="142" ht="15.75" customHeight="1">
      <c r="M142" s="62"/>
    </row>
    <row r="143" ht="15.75" customHeight="1">
      <c r="M143" s="62"/>
    </row>
    <row r="144" ht="15.75" customHeight="1">
      <c r="M144" s="62"/>
    </row>
    <row r="145" ht="15.75" customHeight="1">
      <c r="M145" s="62"/>
    </row>
    <row r="146" ht="15.75" customHeight="1">
      <c r="M146" s="62"/>
    </row>
    <row r="147" ht="15.75" customHeight="1">
      <c r="M147" s="62"/>
    </row>
    <row r="148" ht="15.75" customHeight="1">
      <c r="M148" s="62"/>
    </row>
    <row r="149" ht="15.75" customHeight="1">
      <c r="M149" s="62"/>
    </row>
    <row r="150" ht="15.75" customHeight="1">
      <c r="M150" s="62"/>
    </row>
    <row r="151" ht="15.75" customHeight="1">
      <c r="M151" s="62"/>
    </row>
    <row r="152" ht="15.75" customHeight="1">
      <c r="M152" s="62"/>
    </row>
    <row r="153" ht="15.75" customHeight="1">
      <c r="M153" s="62"/>
    </row>
    <row r="154" ht="15.75" customHeight="1">
      <c r="M154" s="62"/>
    </row>
    <row r="155" ht="15.75" customHeight="1">
      <c r="M155" s="62"/>
    </row>
    <row r="156" ht="15.75" customHeight="1">
      <c r="M156" s="62"/>
    </row>
    <row r="157" ht="15.75" customHeight="1">
      <c r="M157" s="62"/>
    </row>
    <row r="158" ht="15.75" customHeight="1">
      <c r="M158" s="62"/>
    </row>
    <row r="159" ht="15.75" customHeight="1">
      <c r="M159" s="62"/>
    </row>
    <row r="160" ht="15.75" customHeight="1">
      <c r="M160" s="62"/>
    </row>
    <row r="161" ht="15.75" customHeight="1">
      <c r="M161" s="62"/>
    </row>
    <row r="162" ht="15.75" customHeight="1">
      <c r="M162" s="62"/>
    </row>
    <row r="163" ht="15.75" customHeight="1">
      <c r="M163" s="62"/>
    </row>
    <row r="164" ht="15.75" customHeight="1">
      <c r="M164" s="62"/>
    </row>
    <row r="165" ht="15.75" customHeight="1">
      <c r="M165" s="62"/>
    </row>
    <row r="166" ht="15.75" customHeight="1">
      <c r="M166" s="62"/>
    </row>
    <row r="167" ht="15.75" customHeight="1">
      <c r="M167" s="62"/>
    </row>
    <row r="168" ht="15.75" customHeight="1">
      <c r="M168" s="62"/>
    </row>
    <row r="169" ht="15.75" customHeight="1">
      <c r="M169" s="62"/>
    </row>
    <row r="170" ht="15.75" customHeight="1">
      <c r="M170" s="62"/>
    </row>
    <row r="171" ht="15.75" customHeight="1">
      <c r="M171" s="62"/>
    </row>
    <row r="172" ht="15.75" customHeight="1">
      <c r="M172" s="62"/>
    </row>
    <row r="173" ht="15.75" customHeight="1">
      <c r="M173" s="62"/>
    </row>
    <row r="174" ht="15.75" customHeight="1">
      <c r="M174" s="62"/>
    </row>
    <row r="175" ht="15.75" customHeight="1">
      <c r="M175" s="62"/>
    </row>
    <row r="176" ht="15.75" customHeight="1">
      <c r="M176" s="62"/>
    </row>
    <row r="177" ht="15.75" customHeight="1">
      <c r="M177" s="62"/>
    </row>
    <row r="178" ht="15.75" customHeight="1">
      <c r="M178" s="62"/>
    </row>
    <row r="179" ht="15.75" customHeight="1">
      <c r="M179" s="62"/>
    </row>
    <row r="180" ht="15.75" customHeight="1">
      <c r="M180" s="62"/>
    </row>
    <row r="181" ht="15.75" customHeight="1">
      <c r="M181" s="62"/>
    </row>
    <row r="182" ht="15.75" customHeight="1">
      <c r="M182" s="62"/>
    </row>
    <row r="183" ht="15.75" customHeight="1">
      <c r="M183" s="62"/>
    </row>
    <row r="184" ht="15.75" customHeight="1">
      <c r="M184" s="62"/>
    </row>
    <row r="185" ht="15.75" customHeight="1">
      <c r="M185" s="62"/>
    </row>
    <row r="186" ht="15.75" customHeight="1">
      <c r="M186" s="62"/>
    </row>
    <row r="187" ht="15.75" customHeight="1">
      <c r="M187" s="62"/>
    </row>
    <row r="188" ht="15.75" customHeight="1">
      <c r="M188" s="62"/>
    </row>
    <row r="189" ht="15.75" customHeight="1">
      <c r="M189" s="62"/>
    </row>
    <row r="190" ht="15.75" customHeight="1">
      <c r="M190" s="62"/>
    </row>
    <row r="191" ht="15.75" customHeight="1">
      <c r="M191" s="62"/>
    </row>
    <row r="192" ht="15.75" customHeight="1">
      <c r="M192" s="62"/>
    </row>
    <row r="193" ht="15.75" customHeight="1">
      <c r="M193" s="62"/>
    </row>
    <row r="194" ht="15.75" customHeight="1">
      <c r="M194" s="62"/>
    </row>
    <row r="195" ht="15.75" customHeight="1">
      <c r="M195" s="62"/>
    </row>
    <row r="196" ht="15.75" customHeight="1">
      <c r="M196" s="62"/>
    </row>
    <row r="197" ht="15.75" customHeight="1">
      <c r="M197" s="62"/>
    </row>
    <row r="198" ht="15.75" customHeight="1">
      <c r="M198" s="62"/>
    </row>
    <row r="199" ht="15.75" customHeight="1">
      <c r="M199" s="62"/>
    </row>
    <row r="200" ht="15.75" customHeight="1">
      <c r="M200" s="62"/>
    </row>
    <row r="201" ht="15.75" customHeight="1">
      <c r="M201" s="62"/>
    </row>
    <row r="202" ht="15.75" customHeight="1">
      <c r="M202" s="62"/>
    </row>
    <row r="203" ht="15.75" customHeight="1">
      <c r="M203" s="62"/>
    </row>
    <row r="204" ht="15.75" customHeight="1">
      <c r="M204" s="62"/>
    </row>
    <row r="205" ht="15.75" customHeight="1">
      <c r="M205" s="62"/>
    </row>
    <row r="206" ht="15.75" customHeight="1">
      <c r="M206" s="62"/>
    </row>
    <row r="207" ht="15.75" customHeight="1">
      <c r="M207" s="62"/>
    </row>
    <row r="208" ht="15.75" customHeight="1">
      <c r="M208" s="62"/>
    </row>
    <row r="209" ht="15.75" customHeight="1">
      <c r="M209" s="62"/>
    </row>
    <row r="210" ht="15.75" customHeight="1">
      <c r="M210" s="62"/>
    </row>
    <row r="211" ht="15.75" customHeight="1">
      <c r="M211" s="62"/>
    </row>
    <row r="212" ht="15.75" customHeight="1">
      <c r="M212" s="62"/>
    </row>
    <row r="213" ht="15.75" customHeight="1">
      <c r="M213" s="62"/>
    </row>
    <row r="214" ht="15.75" customHeight="1">
      <c r="M214" s="62"/>
    </row>
    <row r="215" ht="15.75" customHeight="1">
      <c r="M215" s="62"/>
    </row>
    <row r="216" ht="15.75" customHeight="1">
      <c r="M216" s="62"/>
    </row>
    <row r="217" ht="15.75" customHeight="1">
      <c r="M217" s="62"/>
    </row>
    <row r="218" ht="15.75" customHeight="1">
      <c r="M218" s="62"/>
    </row>
    <row r="219" ht="15.75" customHeight="1">
      <c r="M219" s="62"/>
    </row>
    <row r="220" ht="15.75" customHeight="1">
      <c r="M220" s="62"/>
    </row>
    <row r="221" ht="15.75" customHeight="1">
      <c r="M221" s="62"/>
    </row>
    <row r="222" ht="15.75" customHeight="1">
      <c r="M222" s="62"/>
    </row>
    <row r="223" ht="15.75" customHeight="1">
      <c r="M223" s="62"/>
    </row>
    <row r="224" ht="15.75" customHeight="1">
      <c r="M224" s="62"/>
    </row>
    <row r="225" ht="15.75" customHeight="1">
      <c r="M225" s="62"/>
    </row>
    <row r="226" ht="15.75" customHeight="1">
      <c r="M226" s="62"/>
    </row>
    <row r="227" ht="15.75" customHeight="1">
      <c r="M227" s="62"/>
    </row>
    <row r="228" ht="15.75" customHeight="1">
      <c r="M228" s="62"/>
    </row>
    <row r="229" ht="15.75" customHeight="1">
      <c r="M229" s="62"/>
    </row>
    <row r="230" ht="15.75" customHeight="1">
      <c r="M230" s="62"/>
    </row>
    <row r="231" ht="15.75" customHeight="1">
      <c r="M231" s="62"/>
    </row>
    <row r="232" ht="15.75" customHeight="1">
      <c r="M232" s="62"/>
    </row>
    <row r="233" ht="15.75" customHeight="1">
      <c r="M233" s="62"/>
    </row>
    <row r="234" ht="15.75" customHeight="1">
      <c r="M234" s="62"/>
    </row>
    <row r="235" ht="15.75" customHeight="1">
      <c r="M235" s="62"/>
    </row>
    <row r="236" ht="15.75" customHeight="1">
      <c r="M236" s="62"/>
    </row>
    <row r="237" ht="15.75" customHeight="1">
      <c r="M237" s="62"/>
    </row>
    <row r="238" ht="15.75" customHeight="1">
      <c r="M238" s="62"/>
    </row>
    <row r="239" ht="15.75" customHeight="1">
      <c r="M239" s="62"/>
    </row>
    <row r="240" ht="15.75" customHeight="1">
      <c r="M240" s="62"/>
    </row>
    <row r="241" ht="15.75" customHeight="1">
      <c r="M241" s="62"/>
    </row>
    <row r="242" ht="15.75" customHeight="1">
      <c r="M242" s="62"/>
    </row>
    <row r="243" ht="15.75" customHeight="1">
      <c r="M243" s="62"/>
    </row>
    <row r="244" ht="15.75" customHeight="1">
      <c r="M244" s="62"/>
    </row>
    <row r="245" ht="15.75" customHeight="1">
      <c r="M245" s="62"/>
    </row>
    <row r="246" ht="15.75" customHeight="1">
      <c r="M246" s="62"/>
    </row>
    <row r="247" ht="15.75" customHeight="1">
      <c r="M247" s="62"/>
    </row>
    <row r="248" ht="15.75" customHeight="1">
      <c r="M248" s="62"/>
    </row>
    <row r="249" ht="15.75" customHeight="1">
      <c r="M249" s="62"/>
    </row>
    <row r="250" ht="15.75" customHeight="1">
      <c r="M250" s="62"/>
    </row>
    <row r="251" ht="15.75" customHeight="1">
      <c r="M251" s="62"/>
    </row>
    <row r="252" ht="15.75" customHeight="1">
      <c r="M252" s="62"/>
    </row>
    <row r="253" ht="15.75" customHeight="1">
      <c r="M253" s="62"/>
    </row>
    <row r="254" ht="15.75" customHeight="1">
      <c r="M254" s="62"/>
    </row>
    <row r="255" ht="15.75" customHeight="1">
      <c r="M255" s="62"/>
    </row>
    <row r="256" ht="15.75" customHeight="1">
      <c r="M256" s="62"/>
    </row>
    <row r="257" ht="15.75" customHeight="1">
      <c r="M257" s="62"/>
    </row>
    <row r="258" ht="15.75" customHeight="1">
      <c r="M258" s="62"/>
    </row>
    <row r="259" ht="15.75" customHeight="1">
      <c r="M259" s="62"/>
    </row>
    <row r="260" ht="15.75" customHeight="1">
      <c r="M260" s="62"/>
    </row>
    <row r="261" ht="15.75" customHeight="1">
      <c r="M261" s="62"/>
    </row>
    <row r="262" ht="15.75" customHeight="1">
      <c r="M262" s="62"/>
    </row>
    <row r="263" ht="15.75" customHeight="1">
      <c r="M263" s="62"/>
    </row>
    <row r="264" ht="15.75" customHeight="1">
      <c r="M264" s="62"/>
    </row>
    <row r="265" ht="15.75" customHeight="1">
      <c r="M265" s="62"/>
    </row>
    <row r="266" ht="15.75" customHeight="1">
      <c r="M266" s="62"/>
    </row>
    <row r="267" ht="15.75" customHeight="1">
      <c r="M267" s="62"/>
    </row>
    <row r="268" ht="15.75" customHeight="1">
      <c r="M268" s="62"/>
    </row>
    <row r="269" ht="15.75" customHeight="1">
      <c r="M269" s="62"/>
    </row>
    <row r="270" ht="15.75" customHeight="1">
      <c r="M270" s="62"/>
    </row>
    <row r="271" ht="15.75" customHeight="1">
      <c r="M271" s="62"/>
    </row>
    <row r="272" ht="15.75" customHeight="1">
      <c r="M272" s="62"/>
    </row>
    <row r="273" ht="15.75" customHeight="1">
      <c r="M273" s="62"/>
    </row>
    <row r="274" ht="15.75" customHeight="1">
      <c r="M274" s="62"/>
    </row>
    <row r="275" ht="15.75" customHeight="1">
      <c r="M275" s="62"/>
    </row>
    <row r="276" ht="15.75" customHeight="1">
      <c r="M276" s="62"/>
    </row>
    <row r="277" ht="15.75" customHeight="1">
      <c r="M277" s="62"/>
    </row>
    <row r="278" ht="15.75" customHeight="1">
      <c r="M278" s="62"/>
    </row>
    <row r="279" ht="15.75" customHeight="1">
      <c r="M279" s="62"/>
    </row>
    <row r="280" ht="15.75" customHeight="1">
      <c r="M280" s="62"/>
    </row>
    <row r="281" ht="15.75" customHeight="1">
      <c r="M281" s="62"/>
    </row>
    <row r="282" ht="15.75" customHeight="1">
      <c r="M282" s="62"/>
    </row>
    <row r="283" ht="15.75" customHeight="1">
      <c r="M283" s="62"/>
    </row>
    <row r="284" ht="15.75" customHeight="1">
      <c r="M284" s="62"/>
    </row>
    <row r="285" ht="15.75" customHeight="1">
      <c r="M285" s="62"/>
    </row>
    <row r="286" ht="15.75" customHeight="1">
      <c r="M286" s="62"/>
    </row>
    <row r="287" ht="15.75" customHeight="1">
      <c r="M287" s="62"/>
    </row>
    <row r="288" ht="15.75" customHeight="1">
      <c r="M288" s="62"/>
    </row>
    <row r="289" ht="15.75" customHeight="1">
      <c r="M289" s="62"/>
    </row>
    <row r="290" ht="15.75" customHeight="1">
      <c r="M290" s="62"/>
    </row>
    <row r="291" ht="15.75" customHeight="1">
      <c r="M291" s="62"/>
    </row>
    <row r="292" ht="15.75" customHeight="1">
      <c r="M292" s="62"/>
    </row>
    <row r="293" ht="15.75" customHeight="1">
      <c r="M293" s="62"/>
    </row>
    <row r="294" ht="15.75" customHeight="1">
      <c r="M294" s="62"/>
    </row>
    <row r="295" ht="15.75" customHeight="1">
      <c r="M295" s="62"/>
    </row>
    <row r="296" ht="15.75" customHeight="1">
      <c r="M296" s="62"/>
    </row>
    <row r="297" ht="15.75" customHeight="1">
      <c r="M297" s="62"/>
    </row>
    <row r="298" ht="15.75" customHeight="1">
      <c r="M298" s="62"/>
    </row>
    <row r="299" ht="15.75" customHeight="1">
      <c r="M299" s="62"/>
    </row>
    <row r="300" ht="15.75" customHeight="1">
      <c r="M300" s="62"/>
    </row>
    <row r="301" ht="15.75" customHeight="1">
      <c r="M301" s="62"/>
    </row>
    <row r="302" ht="15.75" customHeight="1">
      <c r="M302" s="62"/>
    </row>
    <row r="303" ht="15.75" customHeight="1">
      <c r="M303" s="62"/>
    </row>
    <row r="304" ht="15.75" customHeight="1">
      <c r="M304" s="62"/>
    </row>
    <row r="305" ht="15.75" customHeight="1">
      <c r="M305" s="62"/>
    </row>
    <row r="306" ht="15.75" customHeight="1">
      <c r="M306" s="62"/>
    </row>
    <row r="307" ht="15.75" customHeight="1">
      <c r="M307" s="62"/>
    </row>
    <row r="308" ht="15.75" customHeight="1">
      <c r="M308" s="62"/>
    </row>
    <row r="309" ht="15.75" customHeight="1">
      <c r="M309" s="62"/>
    </row>
    <row r="310" ht="15.75" customHeight="1">
      <c r="M310" s="62"/>
    </row>
    <row r="311" ht="15.75" customHeight="1">
      <c r="M311" s="62"/>
    </row>
    <row r="312" ht="15.75" customHeight="1">
      <c r="M312" s="62"/>
    </row>
    <row r="313" ht="15.75" customHeight="1">
      <c r="M313" s="62"/>
    </row>
    <row r="314" ht="15.75" customHeight="1">
      <c r="M314" s="62"/>
    </row>
    <row r="315" ht="15.75" customHeight="1">
      <c r="M315" s="62"/>
    </row>
    <row r="316" ht="15.75" customHeight="1">
      <c r="M316" s="62"/>
    </row>
    <row r="317" ht="15.75" customHeight="1">
      <c r="M317" s="62"/>
    </row>
    <row r="318" ht="15.75" customHeight="1">
      <c r="M318" s="62"/>
    </row>
    <row r="319" ht="15.75" customHeight="1">
      <c r="M319" s="62"/>
    </row>
    <row r="320" ht="15.75" customHeight="1">
      <c r="M320" s="62"/>
    </row>
    <row r="321" ht="15.75" customHeight="1">
      <c r="M321" s="62"/>
    </row>
    <row r="322" ht="15.75" customHeight="1">
      <c r="M322" s="62"/>
    </row>
    <row r="323" ht="15.75" customHeight="1">
      <c r="M323" s="62"/>
    </row>
    <row r="324" ht="15.75" customHeight="1">
      <c r="M324" s="62"/>
    </row>
    <row r="325" ht="15.75" customHeight="1">
      <c r="M325" s="62"/>
    </row>
    <row r="326" ht="15.75" customHeight="1">
      <c r="M326" s="62"/>
    </row>
    <row r="327" ht="15.75" customHeight="1">
      <c r="M327" s="62"/>
    </row>
    <row r="328" ht="15.75" customHeight="1">
      <c r="M328" s="62"/>
    </row>
    <row r="329" ht="15.75" customHeight="1">
      <c r="M329" s="62"/>
    </row>
    <row r="330" ht="15.75" customHeight="1">
      <c r="M330" s="62"/>
    </row>
    <row r="331" ht="15.75" customHeight="1">
      <c r="M331" s="62"/>
    </row>
    <row r="332" ht="15.75" customHeight="1">
      <c r="M332" s="62"/>
    </row>
    <row r="333" ht="15.75" customHeight="1">
      <c r="M333" s="62"/>
    </row>
    <row r="334" ht="15.75" customHeight="1">
      <c r="M334" s="62"/>
    </row>
    <row r="335" ht="15.75" customHeight="1">
      <c r="M335" s="62"/>
    </row>
    <row r="336" ht="15.75" customHeight="1">
      <c r="M336" s="62"/>
    </row>
    <row r="337" ht="15.75" customHeight="1">
      <c r="M337" s="62"/>
    </row>
    <row r="338" ht="15.75" customHeight="1">
      <c r="M338" s="62"/>
    </row>
    <row r="339" ht="15.75" customHeight="1">
      <c r="M339" s="62"/>
    </row>
    <row r="340" ht="15.75" customHeight="1">
      <c r="M340" s="62"/>
    </row>
    <row r="341" ht="15.75" customHeight="1">
      <c r="M341" s="62"/>
    </row>
    <row r="342" ht="15.75" customHeight="1">
      <c r="M342" s="62"/>
    </row>
    <row r="343" ht="15.75" customHeight="1">
      <c r="M343" s="62"/>
    </row>
    <row r="344" ht="15.75" customHeight="1">
      <c r="M344" s="62"/>
    </row>
    <row r="345" ht="15.75" customHeight="1">
      <c r="M345" s="62"/>
    </row>
    <row r="346" ht="15.75" customHeight="1">
      <c r="M346" s="62"/>
    </row>
    <row r="347" ht="15.75" customHeight="1">
      <c r="M347" s="62"/>
    </row>
    <row r="348" ht="15.75" customHeight="1">
      <c r="M348" s="62"/>
    </row>
    <row r="349" ht="15.75" customHeight="1">
      <c r="M349" s="62"/>
    </row>
    <row r="350" ht="15.75" customHeight="1">
      <c r="M350" s="62"/>
    </row>
    <row r="351" ht="15.75" customHeight="1">
      <c r="M351" s="62"/>
    </row>
    <row r="352" ht="15.75" customHeight="1">
      <c r="M352" s="62"/>
    </row>
    <row r="353" ht="15.75" customHeight="1">
      <c r="M353" s="62"/>
    </row>
    <row r="354" ht="15.75" customHeight="1">
      <c r="M354" s="62"/>
    </row>
    <row r="355" ht="15.75" customHeight="1">
      <c r="M355" s="62"/>
    </row>
    <row r="356" ht="15.75" customHeight="1">
      <c r="M356" s="62"/>
    </row>
    <row r="357" ht="15.75" customHeight="1">
      <c r="M357" s="62"/>
    </row>
    <row r="358" ht="15.75" customHeight="1">
      <c r="M358" s="62"/>
    </row>
    <row r="359" ht="15.75" customHeight="1">
      <c r="M359" s="62"/>
    </row>
    <row r="360" ht="15.75" customHeight="1">
      <c r="M360" s="62"/>
    </row>
    <row r="361" ht="15.75" customHeight="1">
      <c r="M361" s="62"/>
    </row>
    <row r="362" ht="15.75" customHeight="1">
      <c r="M362" s="62"/>
    </row>
    <row r="363" ht="15.75" customHeight="1">
      <c r="M363" s="62"/>
    </row>
    <row r="364" ht="15.75" customHeight="1">
      <c r="M364" s="62"/>
    </row>
    <row r="365" ht="15.75" customHeight="1">
      <c r="M365" s="62"/>
    </row>
    <row r="366" ht="15.75" customHeight="1">
      <c r="M366" s="62"/>
    </row>
    <row r="367" ht="15.75" customHeight="1">
      <c r="M367" s="62"/>
    </row>
    <row r="368" ht="15.75" customHeight="1">
      <c r="M368" s="62"/>
    </row>
    <row r="369" ht="15.75" customHeight="1">
      <c r="M369" s="62"/>
    </row>
    <row r="370" ht="15.75" customHeight="1">
      <c r="M370" s="62"/>
    </row>
    <row r="371" ht="15.75" customHeight="1">
      <c r="M371" s="62"/>
    </row>
    <row r="372" ht="15.75" customHeight="1">
      <c r="M372" s="62"/>
    </row>
    <row r="373" ht="15.75" customHeight="1">
      <c r="M373" s="62"/>
    </row>
    <row r="374" ht="15.75" customHeight="1">
      <c r="M374" s="62"/>
    </row>
    <row r="375" ht="15.75" customHeight="1">
      <c r="M375" s="62"/>
    </row>
    <row r="376" ht="15.75" customHeight="1">
      <c r="M376" s="62"/>
    </row>
    <row r="377" ht="15.75" customHeight="1">
      <c r="M377" s="62"/>
    </row>
    <row r="378" ht="15.75" customHeight="1">
      <c r="M378" s="62"/>
    </row>
    <row r="379" ht="15.75" customHeight="1">
      <c r="M379" s="62"/>
    </row>
    <row r="380" ht="15.75" customHeight="1">
      <c r="M380" s="62"/>
    </row>
    <row r="381" ht="15.75" customHeight="1">
      <c r="M381" s="62"/>
    </row>
    <row r="382" ht="15.75" customHeight="1">
      <c r="M382" s="62"/>
    </row>
    <row r="383" ht="15.75" customHeight="1">
      <c r="M383" s="62"/>
    </row>
    <row r="384" ht="15.75" customHeight="1">
      <c r="M384" s="62"/>
    </row>
    <row r="385" ht="15.75" customHeight="1">
      <c r="M385" s="62"/>
    </row>
    <row r="386" ht="15.75" customHeight="1">
      <c r="M386" s="62"/>
    </row>
    <row r="387" ht="15.75" customHeight="1">
      <c r="M387" s="62"/>
    </row>
    <row r="388" ht="15.75" customHeight="1">
      <c r="M388" s="62"/>
    </row>
    <row r="389" ht="15.75" customHeight="1">
      <c r="M389" s="62"/>
    </row>
    <row r="390" ht="15.75" customHeight="1">
      <c r="M390" s="62"/>
    </row>
    <row r="391" ht="15.75" customHeight="1">
      <c r="M391" s="62"/>
    </row>
    <row r="392" ht="15.75" customHeight="1">
      <c r="M392" s="62"/>
    </row>
    <row r="393" ht="15.75" customHeight="1">
      <c r="M393" s="62"/>
    </row>
    <row r="394" ht="15.75" customHeight="1">
      <c r="M394" s="62"/>
    </row>
    <row r="395" ht="15.75" customHeight="1">
      <c r="M395" s="62"/>
    </row>
    <row r="396" ht="15.75" customHeight="1">
      <c r="M396" s="62"/>
    </row>
    <row r="397" ht="15.75" customHeight="1">
      <c r="M397" s="62"/>
    </row>
    <row r="398" ht="15.75" customHeight="1">
      <c r="M398" s="62"/>
    </row>
    <row r="399" ht="15.75" customHeight="1">
      <c r="M399" s="62"/>
    </row>
    <row r="400" ht="15.75" customHeight="1">
      <c r="M400" s="62"/>
    </row>
    <row r="401" ht="15.75" customHeight="1">
      <c r="M401" s="62"/>
    </row>
    <row r="402" ht="15.75" customHeight="1">
      <c r="M402" s="62"/>
    </row>
    <row r="403" ht="15.75" customHeight="1">
      <c r="M403" s="62"/>
    </row>
    <row r="404" ht="15.75" customHeight="1">
      <c r="M404" s="62"/>
    </row>
    <row r="405" ht="15.75" customHeight="1">
      <c r="M405" s="62"/>
    </row>
    <row r="406" ht="15.75" customHeight="1">
      <c r="M406" s="62"/>
    </row>
    <row r="407" ht="15.75" customHeight="1">
      <c r="M407" s="62"/>
    </row>
    <row r="408" ht="15.75" customHeight="1">
      <c r="M408" s="62"/>
    </row>
    <row r="409" ht="15.75" customHeight="1">
      <c r="M409" s="62"/>
    </row>
    <row r="410" ht="15.75" customHeight="1">
      <c r="M410" s="62"/>
    </row>
    <row r="411" ht="15.75" customHeight="1">
      <c r="M411" s="62"/>
    </row>
    <row r="412" ht="15.75" customHeight="1">
      <c r="M412" s="62"/>
    </row>
    <row r="413" ht="15.75" customHeight="1">
      <c r="M413" s="62"/>
    </row>
    <row r="414" ht="15.75" customHeight="1">
      <c r="M414" s="62"/>
    </row>
    <row r="415" ht="15.75" customHeight="1">
      <c r="M415" s="62"/>
    </row>
    <row r="416" ht="15.75" customHeight="1">
      <c r="M416" s="62"/>
    </row>
    <row r="417" ht="15.75" customHeight="1">
      <c r="M417" s="62"/>
    </row>
    <row r="418" ht="15.75" customHeight="1">
      <c r="M418" s="62"/>
    </row>
    <row r="419" ht="15.75" customHeight="1">
      <c r="M419" s="62"/>
    </row>
    <row r="420" ht="15.75" customHeight="1">
      <c r="M420" s="62"/>
    </row>
    <row r="421" ht="15.75" customHeight="1">
      <c r="M421" s="62"/>
    </row>
    <row r="422" ht="15.75" customHeight="1">
      <c r="M422" s="62"/>
    </row>
    <row r="423" ht="15.75" customHeight="1">
      <c r="M423" s="62"/>
    </row>
    <row r="424" ht="15.75" customHeight="1">
      <c r="M424" s="62"/>
    </row>
    <row r="425" ht="15.75" customHeight="1">
      <c r="M425" s="62"/>
    </row>
    <row r="426" ht="15.75" customHeight="1">
      <c r="M426" s="62"/>
    </row>
    <row r="427" ht="15.75" customHeight="1">
      <c r="M427" s="62"/>
    </row>
    <row r="428" ht="15.75" customHeight="1">
      <c r="M428" s="62"/>
    </row>
    <row r="429" ht="15.75" customHeight="1">
      <c r="M429" s="62"/>
    </row>
    <row r="430" ht="15.75" customHeight="1">
      <c r="M430" s="62"/>
    </row>
    <row r="431" ht="15.75" customHeight="1">
      <c r="M431" s="62"/>
    </row>
    <row r="432" ht="15.75" customHeight="1">
      <c r="M432" s="62"/>
    </row>
    <row r="433" ht="15.75" customHeight="1">
      <c r="M433" s="62"/>
    </row>
    <row r="434" ht="15.75" customHeight="1">
      <c r="M434" s="62"/>
    </row>
    <row r="435" ht="15.75" customHeight="1">
      <c r="M435" s="62"/>
    </row>
    <row r="436" ht="15.75" customHeight="1">
      <c r="M436" s="62"/>
    </row>
    <row r="437" ht="15.75" customHeight="1">
      <c r="M437" s="62"/>
    </row>
    <row r="438" ht="15.75" customHeight="1">
      <c r="M438" s="62"/>
    </row>
    <row r="439" ht="15.75" customHeight="1">
      <c r="M439" s="62"/>
    </row>
    <row r="440" ht="15.75" customHeight="1">
      <c r="M440" s="62"/>
    </row>
    <row r="441" ht="15.75" customHeight="1">
      <c r="M441" s="62"/>
    </row>
    <row r="442" ht="15.75" customHeight="1">
      <c r="M442" s="62"/>
    </row>
    <row r="443" ht="15.75" customHeight="1">
      <c r="M443" s="62"/>
    </row>
    <row r="444" ht="15.75" customHeight="1">
      <c r="M444" s="62"/>
    </row>
    <row r="445" ht="15.75" customHeight="1">
      <c r="M445" s="62"/>
    </row>
    <row r="446" ht="15.75" customHeight="1">
      <c r="M446" s="62"/>
    </row>
    <row r="447" ht="15.75" customHeight="1">
      <c r="M447" s="62"/>
    </row>
    <row r="448" ht="15.75" customHeight="1">
      <c r="M448" s="62"/>
    </row>
    <row r="449" ht="15.75" customHeight="1">
      <c r="M449" s="62"/>
    </row>
    <row r="450" ht="15.75" customHeight="1">
      <c r="M450" s="62"/>
    </row>
    <row r="451" ht="15.75" customHeight="1">
      <c r="M451" s="62"/>
    </row>
    <row r="452" ht="15.75" customHeight="1">
      <c r="M452" s="62"/>
    </row>
    <row r="453" ht="15.75" customHeight="1">
      <c r="M453" s="62"/>
    </row>
    <row r="454" ht="15.75" customHeight="1">
      <c r="M454" s="62"/>
    </row>
    <row r="455" ht="15.75" customHeight="1">
      <c r="M455" s="62"/>
    </row>
    <row r="456" ht="15.75" customHeight="1">
      <c r="M456" s="62"/>
    </row>
    <row r="457" ht="15.75" customHeight="1">
      <c r="M457" s="62"/>
    </row>
    <row r="458" ht="15.75" customHeight="1">
      <c r="M458" s="62"/>
    </row>
    <row r="459" ht="15.75" customHeight="1">
      <c r="M459" s="62"/>
    </row>
    <row r="460" ht="15.75" customHeight="1">
      <c r="M460" s="62"/>
    </row>
    <row r="461" ht="15.75" customHeight="1">
      <c r="M461" s="62"/>
    </row>
    <row r="462" ht="15.75" customHeight="1">
      <c r="M462" s="62"/>
    </row>
    <row r="463" ht="15.75" customHeight="1">
      <c r="M463" s="62"/>
    </row>
    <row r="464" ht="15.75" customHeight="1">
      <c r="M464" s="62"/>
    </row>
    <row r="465" ht="15.75" customHeight="1">
      <c r="M465" s="62"/>
    </row>
    <row r="466" ht="15.75" customHeight="1">
      <c r="M466" s="62"/>
    </row>
    <row r="467" ht="15.75" customHeight="1">
      <c r="M467" s="62"/>
    </row>
    <row r="468" ht="15.75" customHeight="1">
      <c r="M468" s="62"/>
    </row>
    <row r="469" ht="15.75" customHeight="1">
      <c r="M469" s="62"/>
    </row>
    <row r="470" ht="15.75" customHeight="1">
      <c r="M470" s="62"/>
    </row>
    <row r="471" ht="15.75" customHeight="1">
      <c r="M471" s="62"/>
    </row>
    <row r="472" ht="15.75" customHeight="1">
      <c r="M472" s="62"/>
    </row>
    <row r="473" ht="15.75" customHeight="1">
      <c r="M473" s="62"/>
    </row>
    <row r="474" ht="15.75" customHeight="1">
      <c r="M474" s="62"/>
    </row>
    <row r="475" ht="15.75" customHeight="1">
      <c r="M475" s="62"/>
    </row>
    <row r="476" ht="15.75" customHeight="1">
      <c r="M476" s="62"/>
    </row>
    <row r="477" ht="15.75" customHeight="1">
      <c r="M477" s="62"/>
    </row>
    <row r="478" ht="15.75" customHeight="1">
      <c r="M478" s="62"/>
    </row>
    <row r="479" ht="15.75" customHeight="1">
      <c r="M479" s="62"/>
    </row>
    <row r="480" ht="15.75" customHeight="1">
      <c r="M480" s="62"/>
    </row>
    <row r="481" ht="15.75" customHeight="1">
      <c r="M481" s="62"/>
    </row>
    <row r="482" ht="15.75" customHeight="1">
      <c r="M482" s="62"/>
    </row>
    <row r="483" ht="15.75" customHeight="1">
      <c r="M483" s="62"/>
    </row>
    <row r="484" ht="15.75" customHeight="1">
      <c r="M484" s="62"/>
    </row>
    <row r="485" ht="15.75" customHeight="1">
      <c r="M485" s="62"/>
    </row>
    <row r="486" ht="15.75" customHeight="1">
      <c r="M486" s="62"/>
    </row>
    <row r="487" ht="15.75" customHeight="1">
      <c r="M487" s="62"/>
    </row>
    <row r="488" ht="15.75" customHeight="1">
      <c r="M488" s="62"/>
    </row>
    <row r="489" ht="15.75" customHeight="1">
      <c r="M489" s="62"/>
    </row>
    <row r="490" ht="15.75" customHeight="1">
      <c r="M490" s="62"/>
    </row>
    <row r="491" ht="15.75" customHeight="1">
      <c r="M491" s="62"/>
    </row>
    <row r="492" ht="15.75" customHeight="1">
      <c r="M492" s="62"/>
    </row>
    <row r="493" ht="15.75" customHeight="1">
      <c r="M493" s="62"/>
    </row>
    <row r="494" ht="15.75" customHeight="1">
      <c r="M494" s="62"/>
    </row>
    <row r="495" ht="15.75" customHeight="1">
      <c r="M495" s="62"/>
    </row>
    <row r="496" ht="15.75" customHeight="1">
      <c r="M496" s="62"/>
    </row>
    <row r="497" ht="15.75" customHeight="1">
      <c r="M497" s="62"/>
    </row>
    <row r="498" ht="15.75" customHeight="1">
      <c r="M498" s="62"/>
    </row>
    <row r="499" ht="15.75" customHeight="1">
      <c r="M499" s="62"/>
    </row>
    <row r="500" ht="15.75" customHeight="1">
      <c r="M500" s="62"/>
    </row>
    <row r="501" ht="15.75" customHeight="1">
      <c r="M501" s="62"/>
    </row>
    <row r="502" ht="15.75" customHeight="1">
      <c r="M502" s="62"/>
    </row>
    <row r="503" ht="15.75" customHeight="1">
      <c r="M503" s="62"/>
    </row>
    <row r="504" ht="15.75" customHeight="1">
      <c r="M504" s="62"/>
    </row>
    <row r="505" ht="15.75" customHeight="1">
      <c r="M505" s="62"/>
    </row>
    <row r="506" ht="15.75" customHeight="1">
      <c r="M506" s="62"/>
    </row>
    <row r="507" ht="15.75" customHeight="1">
      <c r="M507" s="62"/>
    </row>
    <row r="508" ht="15.75" customHeight="1">
      <c r="M508" s="62"/>
    </row>
    <row r="509" ht="15.75" customHeight="1">
      <c r="M509" s="62"/>
    </row>
    <row r="510" ht="15.75" customHeight="1">
      <c r="M510" s="62"/>
    </row>
    <row r="511" ht="15.75" customHeight="1">
      <c r="M511" s="62"/>
    </row>
    <row r="512" ht="15.75" customHeight="1">
      <c r="M512" s="62"/>
    </row>
    <row r="513" ht="15.75" customHeight="1">
      <c r="M513" s="62"/>
    </row>
    <row r="514" ht="15.75" customHeight="1">
      <c r="M514" s="62"/>
    </row>
    <row r="515" ht="15.75" customHeight="1">
      <c r="M515" s="62"/>
    </row>
    <row r="516" ht="15.75" customHeight="1">
      <c r="M516" s="62"/>
    </row>
    <row r="517" ht="15.75" customHeight="1">
      <c r="M517" s="62"/>
    </row>
    <row r="518" ht="15.75" customHeight="1">
      <c r="M518" s="62"/>
    </row>
    <row r="519" ht="15.75" customHeight="1">
      <c r="M519" s="62"/>
    </row>
    <row r="520" ht="15.75" customHeight="1">
      <c r="M520" s="62"/>
    </row>
    <row r="521" ht="15.75" customHeight="1">
      <c r="M521" s="62"/>
    </row>
    <row r="522" ht="15.75" customHeight="1">
      <c r="M522" s="62"/>
    </row>
    <row r="523" ht="15.75" customHeight="1">
      <c r="M523" s="62"/>
    </row>
    <row r="524" ht="15.75" customHeight="1">
      <c r="M524" s="62"/>
    </row>
    <row r="525" ht="15.75" customHeight="1">
      <c r="M525" s="62"/>
    </row>
    <row r="526" ht="15.75" customHeight="1">
      <c r="M526" s="62"/>
    </row>
    <row r="527" ht="15.75" customHeight="1">
      <c r="M527" s="62"/>
    </row>
    <row r="528" ht="15.75" customHeight="1">
      <c r="M528" s="62"/>
    </row>
    <row r="529" ht="15.75" customHeight="1">
      <c r="M529" s="62"/>
    </row>
    <row r="530" ht="15.75" customHeight="1">
      <c r="M530" s="62"/>
    </row>
    <row r="531" ht="15.75" customHeight="1">
      <c r="M531" s="62"/>
    </row>
    <row r="532" ht="15.75" customHeight="1">
      <c r="M532" s="62"/>
    </row>
    <row r="533" ht="15.75" customHeight="1">
      <c r="M533" s="62"/>
    </row>
    <row r="534" ht="15.75" customHeight="1">
      <c r="M534" s="62"/>
    </row>
    <row r="535" ht="15.75" customHeight="1">
      <c r="M535" s="62"/>
    </row>
    <row r="536" ht="15.75" customHeight="1">
      <c r="M536" s="62"/>
    </row>
    <row r="537" ht="15.75" customHeight="1">
      <c r="M537" s="62"/>
    </row>
    <row r="538" ht="15.75" customHeight="1">
      <c r="M538" s="62"/>
    </row>
    <row r="539" ht="15.75" customHeight="1">
      <c r="M539" s="62"/>
    </row>
    <row r="540" ht="15.75" customHeight="1">
      <c r="M540" s="62"/>
    </row>
    <row r="541" ht="15.75" customHeight="1">
      <c r="M541" s="62"/>
    </row>
    <row r="542" ht="15.75" customHeight="1">
      <c r="M542" s="62"/>
    </row>
    <row r="543" ht="15.75" customHeight="1">
      <c r="M543" s="62"/>
    </row>
    <row r="544" ht="15.75" customHeight="1">
      <c r="M544" s="62"/>
    </row>
    <row r="545" ht="15.75" customHeight="1">
      <c r="M545" s="62"/>
    </row>
    <row r="546" ht="15.75" customHeight="1">
      <c r="M546" s="62"/>
    </row>
    <row r="547" ht="15.75" customHeight="1">
      <c r="M547" s="62"/>
    </row>
    <row r="548" ht="15.75" customHeight="1">
      <c r="M548" s="62"/>
    </row>
    <row r="549" ht="15.75" customHeight="1">
      <c r="M549" s="62"/>
    </row>
    <row r="550" ht="15.75" customHeight="1">
      <c r="M550" s="62"/>
    </row>
    <row r="551" ht="15.75" customHeight="1">
      <c r="M551" s="62"/>
    </row>
    <row r="552" ht="15.75" customHeight="1">
      <c r="M552" s="62"/>
    </row>
    <row r="553" ht="15.75" customHeight="1">
      <c r="M553" s="62"/>
    </row>
    <row r="554" ht="15.75" customHeight="1">
      <c r="M554" s="62"/>
    </row>
    <row r="555" ht="15.75" customHeight="1">
      <c r="M555" s="62"/>
    </row>
    <row r="556" ht="15.75" customHeight="1">
      <c r="M556" s="62"/>
    </row>
    <row r="557" ht="15.75" customHeight="1">
      <c r="M557" s="62"/>
    </row>
    <row r="558" ht="15.75" customHeight="1">
      <c r="M558" s="62"/>
    </row>
    <row r="559" ht="15.75" customHeight="1">
      <c r="M559" s="62"/>
    </row>
    <row r="560" ht="15.75" customHeight="1">
      <c r="M560" s="62"/>
    </row>
    <row r="561" ht="15.75" customHeight="1">
      <c r="M561" s="62"/>
    </row>
    <row r="562" ht="15.75" customHeight="1">
      <c r="M562" s="62"/>
    </row>
    <row r="563" ht="15.75" customHeight="1">
      <c r="M563" s="62"/>
    </row>
    <row r="564" ht="15.75" customHeight="1">
      <c r="M564" s="62"/>
    </row>
    <row r="565" ht="15.75" customHeight="1">
      <c r="M565" s="62"/>
    </row>
    <row r="566" ht="15.75" customHeight="1">
      <c r="M566" s="62"/>
    </row>
    <row r="567" ht="15.75" customHeight="1">
      <c r="M567" s="62"/>
    </row>
    <row r="568" ht="15.75" customHeight="1">
      <c r="M568" s="62"/>
    </row>
    <row r="569" ht="15.75" customHeight="1">
      <c r="M569" s="62"/>
    </row>
    <row r="570" ht="15.75" customHeight="1">
      <c r="M570" s="62"/>
    </row>
    <row r="571" ht="15.75" customHeight="1">
      <c r="M571" s="62"/>
    </row>
    <row r="572" ht="15.75" customHeight="1">
      <c r="M572" s="62"/>
    </row>
    <row r="573" ht="15.75" customHeight="1">
      <c r="M573" s="62"/>
    </row>
    <row r="574" ht="15.75" customHeight="1">
      <c r="M574" s="62"/>
    </row>
    <row r="575" ht="15.75" customHeight="1">
      <c r="M575" s="62"/>
    </row>
    <row r="576" ht="15.75" customHeight="1">
      <c r="M576" s="62"/>
    </row>
    <row r="577" ht="15.75" customHeight="1">
      <c r="M577" s="62"/>
    </row>
    <row r="578" ht="15.75" customHeight="1">
      <c r="M578" s="62"/>
    </row>
    <row r="579" ht="15.75" customHeight="1">
      <c r="M579" s="62"/>
    </row>
    <row r="580" ht="15.75" customHeight="1">
      <c r="M580" s="62"/>
    </row>
    <row r="581" ht="15.75" customHeight="1">
      <c r="M581" s="62"/>
    </row>
    <row r="582" ht="15.75" customHeight="1">
      <c r="M582" s="62"/>
    </row>
    <row r="583" ht="15.75" customHeight="1">
      <c r="M583" s="62"/>
    </row>
    <row r="584" ht="15.75" customHeight="1">
      <c r="M584" s="62"/>
    </row>
    <row r="585" ht="15.75" customHeight="1">
      <c r="M585" s="62"/>
    </row>
    <row r="586" ht="15.75" customHeight="1">
      <c r="M586" s="62"/>
    </row>
    <row r="587" ht="15.75" customHeight="1">
      <c r="M587" s="62"/>
    </row>
    <row r="588" ht="15.75" customHeight="1">
      <c r="M588" s="62"/>
    </row>
    <row r="589" ht="15.75" customHeight="1">
      <c r="M589" s="62"/>
    </row>
    <row r="590" ht="15.75" customHeight="1">
      <c r="M590" s="62"/>
    </row>
    <row r="591" ht="15.75" customHeight="1">
      <c r="M591" s="62"/>
    </row>
    <row r="592" ht="15.75" customHeight="1">
      <c r="M592" s="62"/>
    </row>
    <row r="593" ht="15.75" customHeight="1">
      <c r="M593" s="62"/>
    </row>
    <row r="594" ht="15.75" customHeight="1">
      <c r="M594" s="62"/>
    </row>
    <row r="595" ht="15.75" customHeight="1">
      <c r="M595" s="62"/>
    </row>
    <row r="596" ht="15.75" customHeight="1">
      <c r="M596" s="62"/>
    </row>
    <row r="597" ht="15.75" customHeight="1">
      <c r="M597" s="62"/>
    </row>
    <row r="598" ht="15.75" customHeight="1">
      <c r="M598" s="62"/>
    </row>
    <row r="599" ht="15.75" customHeight="1">
      <c r="M599" s="62"/>
    </row>
    <row r="600" ht="15.75" customHeight="1">
      <c r="M600" s="62"/>
    </row>
    <row r="601" ht="15.75" customHeight="1">
      <c r="M601" s="62"/>
    </row>
    <row r="602" ht="15.75" customHeight="1">
      <c r="M602" s="62"/>
    </row>
    <row r="603" ht="15.75" customHeight="1">
      <c r="M603" s="62"/>
    </row>
    <row r="604" ht="15.75" customHeight="1">
      <c r="M604" s="62"/>
    </row>
    <row r="605" ht="15.75" customHeight="1">
      <c r="M605" s="62"/>
    </row>
    <row r="606" ht="15.75" customHeight="1">
      <c r="M606" s="62"/>
    </row>
    <row r="607" ht="15.75" customHeight="1">
      <c r="M607" s="62"/>
    </row>
    <row r="608" ht="15.75" customHeight="1">
      <c r="M608" s="62"/>
    </row>
    <row r="609" ht="15.75" customHeight="1">
      <c r="M609" s="62"/>
    </row>
    <row r="610" ht="15.75" customHeight="1">
      <c r="M610" s="62"/>
    </row>
    <row r="611" ht="15.75" customHeight="1">
      <c r="M611" s="62"/>
    </row>
    <row r="612" ht="15.75" customHeight="1">
      <c r="M612" s="62"/>
    </row>
    <row r="613" ht="15.75" customHeight="1">
      <c r="M613" s="62"/>
    </row>
    <row r="614" ht="15.75" customHeight="1">
      <c r="M614" s="62"/>
    </row>
    <row r="615" ht="15.75" customHeight="1">
      <c r="M615" s="62"/>
    </row>
    <row r="616" ht="15.75" customHeight="1">
      <c r="M616" s="62"/>
    </row>
    <row r="617" ht="15.75" customHeight="1">
      <c r="M617" s="62"/>
    </row>
    <row r="618" ht="15.75" customHeight="1">
      <c r="M618" s="62"/>
    </row>
    <row r="619" ht="15.75" customHeight="1">
      <c r="M619" s="62"/>
    </row>
    <row r="620" ht="15.75" customHeight="1">
      <c r="M620" s="62"/>
    </row>
    <row r="621" ht="15.75" customHeight="1">
      <c r="M621" s="62"/>
    </row>
    <row r="622" ht="15.75" customHeight="1">
      <c r="M622" s="62"/>
    </row>
    <row r="623" ht="15.75" customHeight="1">
      <c r="M623" s="62"/>
    </row>
    <row r="624" ht="15.75" customHeight="1">
      <c r="M624" s="62"/>
    </row>
    <row r="625" ht="15.75" customHeight="1">
      <c r="M625" s="62"/>
    </row>
    <row r="626" ht="15.75" customHeight="1">
      <c r="M626" s="62"/>
    </row>
    <row r="627" ht="15.75" customHeight="1">
      <c r="M627" s="62"/>
    </row>
    <row r="628" ht="15.75" customHeight="1">
      <c r="M628" s="62"/>
    </row>
    <row r="629" ht="15.75" customHeight="1">
      <c r="M629" s="62"/>
    </row>
    <row r="630" ht="15.75" customHeight="1">
      <c r="M630" s="62"/>
    </row>
    <row r="631" ht="15.75" customHeight="1">
      <c r="M631" s="62"/>
    </row>
    <row r="632" ht="15.75" customHeight="1">
      <c r="M632" s="62"/>
    </row>
    <row r="633" ht="15.75" customHeight="1">
      <c r="M633" s="62"/>
    </row>
    <row r="634" ht="15.75" customHeight="1">
      <c r="M634" s="62"/>
    </row>
    <row r="635" ht="15.75" customHeight="1">
      <c r="M635" s="62"/>
    </row>
    <row r="636" ht="15.75" customHeight="1">
      <c r="M636" s="62"/>
    </row>
    <row r="637" ht="15.75" customHeight="1">
      <c r="M637" s="62"/>
    </row>
    <row r="638" ht="15.75" customHeight="1">
      <c r="M638" s="62"/>
    </row>
    <row r="639" ht="15.75" customHeight="1">
      <c r="M639" s="62"/>
    </row>
    <row r="640" ht="15.75" customHeight="1">
      <c r="M640" s="62"/>
    </row>
    <row r="641" ht="15.75" customHeight="1">
      <c r="M641" s="62"/>
    </row>
    <row r="642" ht="15.75" customHeight="1">
      <c r="M642" s="62"/>
    </row>
    <row r="643" ht="15.75" customHeight="1">
      <c r="M643" s="62"/>
    </row>
    <row r="644" ht="15.75" customHeight="1">
      <c r="M644" s="62"/>
    </row>
    <row r="645" ht="15.75" customHeight="1">
      <c r="M645" s="62"/>
    </row>
    <row r="646" ht="15.75" customHeight="1">
      <c r="M646" s="62"/>
    </row>
    <row r="647" ht="15.75" customHeight="1">
      <c r="M647" s="62"/>
    </row>
    <row r="648" ht="15.75" customHeight="1">
      <c r="M648" s="62"/>
    </row>
    <row r="649" ht="15.75" customHeight="1">
      <c r="M649" s="62"/>
    </row>
    <row r="650" ht="15.75" customHeight="1">
      <c r="M650" s="62"/>
    </row>
    <row r="651" ht="15.75" customHeight="1">
      <c r="M651" s="62"/>
    </row>
    <row r="652" ht="15.75" customHeight="1">
      <c r="M652" s="62"/>
    </row>
    <row r="653" ht="15.75" customHeight="1">
      <c r="M653" s="62"/>
    </row>
    <row r="654" ht="15.75" customHeight="1">
      <c r="M654" s="62"/>
    </row>
    <row r="655" ht="15.75" customHeight="1">
      <c r="M655" s="62"/>
    </row>
    <row r="656" ht="15.75" customHeight="1">
      <c r="M656" s="62"/>
    </row>
    <row r="657" ht="15.75" customHeight="1">
      <c r="M657" s="62"/>
    </row>
    <row r="658" ht="15.75" customHeight="1">
      <c r="M658" s="62"/>
    </row>
    <row r="659" ht="15.75" customHeight="1">
      <c r="M659" s="62"/>
    </row>
    <row r="660" ht="15.75" customHeight="1">
      <c r="M660" s="62"/>
    </row>
    <row r="661" ht="15.75" customHeight="1">
      <c r="M661" s="62"/>
    </row>
    <row r="662" ht="15.75" customHeight="1">
      <c r="M662" s="62"/>
    </row>
    <row r="663" ht="15.75" customHeight="1">
      <c r="M663" s="62"/>
    </row>
    <row r="664" ht="15.75" customHeight="1">
      <c r="M664" s="62"/>
    </row>
    <row r="665" ht="15.75" customHeight="1">
      <c r="M665" s="62"/>
    </row>
    <row r="666" ht="15.75" customHeight="1">
      <c r="M666" s="62"/>
    </row>
    <row r="667" ht="15.75" customHeight="1">
      <c r="M667" s="62"/>
    </row>
    <row r="668" ht="15.75" customHeight="1">
      <c r="M668" s="62"/>
    </row>
    <row r="669" ht="15.75" customHeight="1">
      <c r="M669" s="62"/>
    </row>
    <row r="670" ht="15.75" customHeight="1">
      <c r="M670" s="62"/>
    </row>
    <row r="671" ht="15.75" customHeight="1">
      <c r="M671" s="62"/>
    </row>
    <row r="672" ht="15.75" customHeight="1">
      <c r="M672" s="62"/>
    </row>
    <row r="673" ht="15.75" customHeight="1">
      <c r="M673" s="62"/>
    </row>
    <row r="674" ht="15.75" customHeight="1">
      <c r="M674" s="62"/>
    </row>
    <row r="675" ht="15.75" customHeight="1">
      <c r="M675" s="62"/>
    </row>
    <row r="676" ht="15.75" customHeight="1">
      <c r="M676" s="62"/>
    </row>
    <row r="677" ht="15.75" customHeight="1">
      <c r="M677" s="62"/>
    </row>
    <row r="678" ht="15.75" customHeight="1">
      <c r="M678" s="62"/>
    </row>
    <row r="679" ht="15.75" customHeight="1">
      <c r="M679" s="62"/>
    </row>
    <row r="680" ht="15.75" customHeight="1">
      <c r="M680" s="62"/>
    </row>
    <row r="681" ht="15.75" customHeight="1">
      <c r="M681" s="62"/>
    </row>
    <row r="682" ht="15.75" customHeight="1">
      <c r="M682" s="62"/>
    </row>
    <row r="683" ht="15.75" customHeight="1">
      <c r="M683" s="62"/>
    </row>
    <row r="684" ht="15.75" customHeight="1">
      <c r="M684" s="62"/>
    </row>
    <row r="685" ht="15.75" customHeight="1">
      <c r="M685" s="62"/>
    </row>
    <row r="686" ht="15.75" customHeight="1">
      <c r="M686" s="62"/>
    </row>
    <row r="687" ht="15.75" customHeight="1">
      <c r="M687" s="62"/>
    </row>
    <row r="688" ht="15.75" customHeight="1">
      <c r="M688" s="62"/>
    </row>
    <row r="689" ht="15.75" customHeight="1">
      <c r="M689" s="62"/>
    </row>
    <row r="690" ht="15.75" customHeight="1">
      <c r="M690" s="62"/>
    </row>
    <row r="691" ht="15.75" customHeight="1">
      <c r="M691" s="62"/>
    </row>
    <row r="692" ht="15.75" customHeight="1">
      <c r="M692" s="62"/>
    </row>
    <row r="693" ht="15.75" customHeight="1">
      <c r="M693" s="62"/>
    </row>
    <row r="694" ht="15.75" customHeight="1">
      <c r="M694" s="62"/>
    </row>
    <row r="695" ht="15.75" customHeight="1">
      <c r="M695" s="62"/>
    </row>
    <row r="696" ht="15.75" customHeight="1">
      <c r="M696" s="62"/>
    </row>
    <row r="697" ht="15.75" customHeight="1">
      <c r="M697" s="62"/>
    </row>
    <row r="698" ht="15.75" customHeight="1">
      <c r="M698" s="62"/>
    </row>
    <row r="699" ht="15.75" customHeight="1">
      <c r="M699" s="62"/>
    </row>
    <row r="700" ht="15.75" customHeight="1">
      <c r="M700" s="62"/>
    </row>
    <row r="701" ht="15.75" customHeight="1">
      <c r="M701" s="62"/>
    </row>
    <row r="702" ht="15.75" customHeight="1">
      <c r="M702" s="62"/>
    </row>
    <row r="703" ht="15.75" customHeight="1">
      <c r="M703" s="62"/>
    </row>
    <row r="704" ht="15.75" customHeight="1">
      <c r="M704" s="62"/>
    </row>
    <row r="705" ht="15.75" customHeight="1">
      <c r="M705" s="62"/>
    </row>
    <row r="706" ht="15.75" customHeight="1">
      <c r="M706" s="62"/>
    </row>
    <row r="707" ht="15.75" customHeight="1">
      <c r="M707" s="62"/>
    </row>
    <row r="708" ht="15.75" customHeight="1">
      <c r="M708" s="62"/>
    </row>
    <row r="709" ht="15.75" customHeight="1">
      <c r="M709" s="62"/>
    </row>
    <row r="710" ht="15.75" customHeight="1">
      <c r="M710" s="62"/>
    </row>
    <row r="711" ht="15.75" customHeight="1">
      <c r="M711" s="62"/>
    </row>
    <row r="712" ht="15.75" customHeight="1">
      <c r="M712" s="62"/>
    </row>
    <row r="713" ht="15.75" customHeight="1">
      <c r="M713" s="62"/>
    </row>
    <row r="714" ht="15.75" customHeight="1">
      <c r="M714" s="62"/>
    </row>
    <row r="715" ht="15.75" customHeight="1">
      <c r="M715" s="62"/>
    </row>
    <row r="716" ht="15.75" customHeight="1">
      <c r="M716" s="62"/>
    </row>
    <row r="717" ht="15.75" customHeight="1">
      <c r="M717" s="62"/>
    </row>
    <row r="718" ht="15.75" customHeight="1">
      <c r="M718" s="62"/>
    </row>
    <row r="719" ht="15.75" customHeight="1">
      <c r="M719" s="62"/>
    </row>
    <row r="720" ht="15.75" customHeight="1">
      <c r="M720" s="62"/>
    </row>
    <row r="721" ht="15.75" customHeight="1">
      <c r="M721" s="62"/>
    </row>
    <row r="722" ht="15.75" customHeight="1">
      <c r="M722" s="62"/>
    </row>
    <row r="723" ht="15.75" customHeight="1">
      <c r="M723" s="62"/>
    </row>
    <row r="724" ht="15.75" customHeight="1">
      <c r="M724" s="62"/>
    </row>
    <row r="725" ht="15.75" customHeight="1">
      <c r="M725" s="62"/>
    </row>
    <row r="726" ht="15.75" customHeight="1">
      <c r="M726" s="62"/>
    </row>
    <row r="727" ht="15.75" customHeight="1">
      <c r="M727" s="62"/>
    </row>
    <row r="728" ht="15.75" customHeight="1">
      <c r="M728" s="62"/>
    </row>
    <row r="729" ht="15.75" customHeight="1">
      <c r="M729" s="62"/>
    </row>
    <row r="730" ht="15.75" customHeight="1">
      <c r="M730" s="62"/>
    </row>
    <row r="731" ht="15.75" customHeight="1">
      <c r="M731" s="62"/>
    </row>
    <row r="732" ht="15.75" customHeight="1">
      <c r="M732" s="62"/>
    </row>
    <row r="733" ht="15.75" customHeight="1">
      <c r="M733" s="62"/>
    </row>
    <row r="734" ht="15.75" customHeight="1">
      <c r="M734" s="62"/>
    </row>
    <row r="735" ht="15.75" customHeight="1">
      <c r="M735" s="62"/>
    </row>
    <row r="736" ht="15.75" customHeight="1">
      <c r="M736" s="62"/>
    </row>
    <row r="737" ht="15.75" customHeight="1">
      <c r="M737" s="62"/>
    </row>
    <row r="738" ht="15.75" customHeight="1">
      <c r="M738" s="62"/>
    </row>
    <row r="739" ht="15.75" customHeight="1">
      <c r="M739" s="62"/>
    </row>
    <row r="740" ht="15.75" customHeight="1">
      <c r="M740" s="62"/>
    </row>
    <row r="741" ht="15.75" customHeight="1">
      <c r="M741" s="62"/>
    </row>
    <row r="742" ht="15.75" customHeight="1">
      <c r="M742" s="62"/>
    </row>
    <row r="743" ht="15.75" customHeight="1">
      <c r="M743" s="62"/>
    </row>
    <row r="744" ht="15.75" customHeight="1">
      <c r="M744" s="62"/>
    </row>
    <row r="745" ht="15.75" customHeight="1">
      <c r="M745" s="62"/>
    </row>
    <row r="746" ht="15.75" customHeight="1">
      <c r="M746" s="62"/>
    </row>
    <row r="747" ht="15.75" customHeight="1">
      <c r="M747" s="62"/>
    </row>
    <row r="748" ht="15.75" customHeight="1">
      <c r="M748" s="62"/>
    </row>
    <row r="749" ht="15.75" customHeight="1">
      <c r="M749" s="62"/>
    </row>
    <row r="750" ht="15.75" customHeight="1">
      <c r="M750" s="62"/>
    </row>
    <row r="751" ht="15.75" customHeight="1">
      <c r="M751" s="62"/>
    </row>
    <row r="752" ht="15.75" customHeight="1">
      <c r="M752" s="62"/>
    </row>
    <row r="753" ht="15.75" customHeight="1">
      <c r="M753" s="62"/>
    </row>
    <row r="754" ht="15.75" customHeight="1">
      <c r="M754" s="62"/>
    </row>
    <row r="755" ht="15.75" customHeight="1">
      <c r="M755" s="62"/>
    </row>
    <row r="756" ht="15.75" customHeight="1">
      <c r="M756" s="62"/>
    </row>
    <row r="757" ht="15.75" customHeight="1">
      <c r="M757" s="62"/>
    </row>
    <row r="758" ht="15.75" customHeight="1">
      <c r="M758" s="62"/>
    </row>
    <row r="759" ht="15.75" customHeight="1">
      <c r="M759" s="62"/>
    </row>
    <row r="760" ht="15.75" customHeight="1">
      <c r="M760" s="62"/>
    </row>
    <row r="761" ht="15.75" customHeight="1">
      <c r="M761" s="62"/>
    </row>
    <row r="762" ht="15.75" customHeight="1">
      <c r="M762" s="62"/>
    </row>
    <row r="763" ht="15.75" customHeight="1">
      <c r="M763" s="62"/>
    </row>
    <row r="764" ht="15.75" customHeight="1">
      <c r="M764" s="62"/>
    </row>
    <row r="765" ht="15.75" customHeight="1">
      <c r="M765" s="62"/>
    </row>
    <row r="766" ht="15.75" customHeight="1">
      <c r="M766" s="62"/>
    </row>
    <row r="767" ht="15.75" customHeight="1">
      <c r="M767" s="62"/>
    </row>
    <row r="768" ht="15.75" customHeight="1">
      <c r="M768" s="62"/>
    </row>
    <row r="769" ht="15.75" customHeight="1">
      <c r="M769" s="62"/>
    </row>
    <row r="770" ht="15.75" customHeight="1">
      <c r="M770" s="62"/>
    </row>
    <row r="771" ht="15.75" customHeight="1">
      <c r="M771" s="62"/>
    </row>
    <row r="772" ht="15.75" customHeight="1">
      <c r="M772" s="62"/>
    </row>
    <row r="773" ht="15.75" customHeight="1">
      <c r="M773" s="62"/>
    </row>
    <row r="774" ht="15.75" customHeight="1">
      <c r="M774" s="62"/>
    </row>
    <row r="775" ht="15.75" customHeight="1">
      <c r="M775" s="62"/>
    </row>
    <row r="776" ht="15.75" customHeight="1">
      <c r="M776" s="62"/>
    </row>
    <row r="777" ht="15.75" customHeight="1">
      <c r="M777" s="62"/>
    </row>
    <row r="778" ht="15.75" customHeight="1">
      <c r="M778" s="62"/>
    </row>
    <row r="779" ht="15.75" customHeight="1">
      <c r="M779" s="62"/>
    </row>
    <row r="780" ht="15.75" customHeight="1">
      <c r="M780" s="62"/>
    </row>
    <row r="781" ht="15.75" customHeight="1">
      <c r="M781" s="62"/>
    </row>
    <row r="782" ht="15.75" customHeight="1">
      <c r="M782" s="62"/>
    </row>
    <row r="783" ht="15.75" customHeight="1">
      <c r="M783" s="62"/>
    </row>
    <row r="784" ht="15.75" customHeight="1">
      <c r="M784" s="62"/>
    </row>
    <row r="785" ht="15.75" customHeight="1">
      <c r="M785" s="62"/>
    </row>
    <row r="786" ht="15.75" customHeight="1">
      <c r="M786" s="62"/>
    </row>
    <row r="787" ht="15.75" customHeight="1">
      <c r="M787" s="62"/>
    </row>
    <row r="788" ht="15.75" customHeight="1">
      <c r="M788" s="62"/>
    </row>
    <row r="789" ht="15.75" customHeight="1">
      <c r="M789" s="62"/>
    </row>
    <row r="790" ht="15.75" customHeight="1">
      <c r="M790" s="62"/>
    </row>
    <row r="791" ht="15.75" customHeight="1">
      <c r="M791" s="62"/>
    </row>
    <row r="792" ht="15.75" customHeight="1">
      <c r="M792" s="62"/>
    </row>
    <row r="793" ht="15.75" customHeight="1">
      <c r="M793" s="62"/>
    </row>
    <row r="794" ht="15.75" customHeight="1">
      <c r="M794" s="62"/>
    </row>
    <row r="795" ht="15.75" customHeight="1">
      <c r="M795" s="62"/>
    </row>
    <row r="796" ht="15.75" customHeight="1">
      <c r="M796" s="62"/>
    </row>
    <row r="797" ht="15.75" customHeight="1">
      <c r="M797" s="62"/>
    </row>
    <row r="798" ht="15.75" customHeight="1">
      <c r="M798" s="62"/>
    </row>
    <row r="799" ht="15.75" customHeight="1">
      <c r="M799" s="62"/>
    </row>
    <row r="800" ht="15.75" customHeight="1">
      <c r="M800" s="62"/>
    </row>
    <row r="801" ht="15.75" customHeight="1">
      <c r="M801" s="62"/>
    </row>
    <row r="802" ht="15.75" customHeight="1">
      <c r="M802" s="62"/>
    </row>
    <row r="803" ht="15.75" customHeight="1">
      <c r="M803" s="62"/>
    </row>
    <row r="804" ht="15.75" customHeight="1">
      <c r="M804" s="62"/>
    </row>
    <row r="805" ht="15.75" customHeight="1">
      <c r="M805" s="62"/>
    </row>
    <row r="806" ht="15.75" customHeight="1">
      <c r="M806" s="62"/>
    </row>
    <row r="807" ht="15.75" customHeight="1">
      <c r="M807" s="62"/>
    </row>
    <row r="808" ht="15.75" customHeight="1">
      <c r="M808" s="62"/>
    </row>
    <row r="809" ht="15.75" customHeight="1">
      <c r="M809" s="62"/>
    </row>
    <row r="810" ht="15.75" customHeight="1">
      <c r="M810" s="62"/>
    </row>
    <row r="811" ht="15.75" customHeight="1">
      <c r="M811" s="62"/>
    </row>
    <row r="812" ht="15.75" customHeight="1">
      <c r="M812" s="62"/>
    </row>
    <row r="813" ht="15.75" customHeight="1">
      <c r="M813" s="62"/>
    </row>
    <row r="814" ht="15.75" customHeight="1">
      <c r="M814" s="62"/>
    </row>
    <row r="815" ht="15.75" customHeight="1">
      <c r="M815" s="62"/>
    </row>
    <row r="816" ht="15.75" customHeight="1">
      <c r="M816" s="62"/>
    </row>
    <row r="817" ht="15.75" customHeight="1">
      <c r="M817" s="62"/>
    </row>
    <row r="818" ht="15.75" customHeight="1">
      <c r="M818" s="62"/>
    </row>
    <row r="819" ht="15.75" customHeight="1">
      <c r="M819" s="62"/>
    </row>
    <row r="820" ht="15.75" customHeight="1">
      <c r="M820" s="62"/>
    </row>
    <row r="821" ht="15.75" customHeight="1">
      <c r="M821" s="62"/>
    </row>
    <row r="822" ht="15.75" customHeight="1">
      <c r="M822" s="62"/>
    </row>
    <row r="823" ht="15.75" customHeight="1">
      <c r="M823" s="62"/>
    </row>
    <row r="824" ht="15.75" customHeight="1">
      <c r="M824" s="62"/>
    </row>
    <row r="825" ht="15.75" customHeight="1">
      <c r="M825" s="62"/>
    </row>
    <row r="826" ht="15.75" customHeight="1">
      <c r="M826" s="62"/>
    </row>
    <row r="827" ht="15.75" customHeight="1">
      <c r="M827" s="62"/>
    </row>
    <row r="828" ht="15.75" customHeight="1">
      <c r="M828" s="62"/>
    </row>
    <row r="829" ht="15.75" customHeight="1">
      <c r="M829" s="62"/>
    </row>
    <row r="830" ht="15.75" customHeight="1">
      <c r="M830" s="62"/>
    </row>
    <row r="831" ht="15.75" customHeight="1">
      <c r="M831" s="62"/>
    </row>
    <row r="832" ht="15.75" customHeight="1">
      <c r="M832" s="62"/>
    </row>
    <row r="833" ht="15.75" customHeight="1">
      <c r="M833" s="62"/>
    </row>
    <row r="834" ht="15.75" customHeight="1">
      <c r="M834" s="62"/>
    </row>
    <row r="835" ht="15.75" customHeight="1">
      <c r="M835" s="62"/>
    </row>
    <row r="836" ht="15.75" customHeight="1">
      <c r="M836" s="62"/>
    </row>
    <row r="837" ht="15.75" customHeight="1">
      <c r="M837" s="62"/>
    </row>
    <row r="838" ht="15.75" customHeight="1">
      <c r="M838" s="62"/>
    </row>
    <row r="839" ht="15.75" customHeight="1">
      <c r="M839" s="62"/>
    </row>
    <row r="840" ht="15.75" customHeight="1">
      <c r="M840" s="62"/>
    </row>
    <row r="841" ht="15.75" customHeight="1">
      <c r="M841" s="62"/>
    </row>
    <row r="842" ht="15.75" customHeight="1">
      <c r="M842" s="62"/>
    </row>
    <row r="843" ht="15.75" customHeight="1">
      <c r="M843" s="62"/>
    </row>
    <row r="844" ht="15.75" customHeight="1">
      <c r="M844" s="62"/>
    </row>
    <row r="845" ht="15.75" customHeight="1">
      <c r="M845" s="62"/>
    </row>
    <row r="846" ht="15.75" customHeight="1">
      <c r="M846" s="62"/>
    </row>
    <row r="847" ht="15.75" customHeight="1">
      <c r="M847" s="62"/>
    </row>
    <row r="848" ht="15.75" customHeight="1">
      <c r="M848" s="62"/>
    </row>
    <row r="849" ht="15.75" customHeight="1">
      <c r="M849" s="62"/>
    </row>
    <row r="850" ht="15.75" customHeight="1">
      <c r="M850" s="62"/>
    </row>
    <row r="851" ht="15.75" customHeight="1">
      <c r="M851" s="62"/>
    </row>
    <row r="852" ht="15.75" customHeight="1">
      <c r="M852" s="62"/>
    </row>
    <row r="853" ht="15.75" customHeight="1">
      <c r="M853" s="62"/>
    </row>
    <row r="854" ht="15.75" customHeight="1">
      <c r="M854" s="62"/>
    </row>
    <row r="855" ht="15.75" customHeight="1">
      <c r="M855" s="62"/>
    </row>
    <row r="856" ht="15.75" customHeight="1">
      <c r="M856" s="62"/>
    </row>
    <row r="857" ht="15.75" customHeight="1">
      <c r="M857" s="62"/>
    </row>
    <row r="858" ht="15.75" customHeight="1">
      <c r="M858" s="62"/>
    </row>
    <row r="859" ht="15.75" customHeight="1">
      <c r="M859" s="62"/>
    </row>
    <row r="860" ht="15.75" customHeight="1">
      <c r="M860" s="62"/>
    </row>
    <row r="861" ht="15.75" customHeight="1">
      <c r="M861" s="62"/>
    </row>
    <row r="862" ht="15.75" customHeight="1">
      <c r="M862" s="62"/>
    </row>
    <row r="863" ht="15.75" customHeight="1">
      <c r="M863" s="62"/>
    </row>
    <row r="864" ht="15.75" customHeight="1">
      <c r="M864" s="62"/>
    </row>
    <row r="865" ht="15.75" customHeight="1">
      <c r="M865" s="62"/>
    </row>
    <row r="866" ht="15.75" customHeight="1">
      <c r="M866" s="62"/>
    </row>
    <row r="867" ht="15.75" customHeight="1">
      <c r="M867" s="62"/>
    </row>
    <row r="868" ht="15.75" customHeight="1">
      <c r="M868" s="62"/>
    </row>
    <row r="869" ht="15.75" customHeight="1">
      <c r="M869" s="62"/>
    </row>
    <row r="870" ht="15.75" customHeight="1">
      <c r="M870" s="62"/>
    </row>
    <row r="871" ht="15.75" customHeight="1">
      <c r="M871" s="62"/>
    </row>
    <row r="872" ht="15.75" customHeight="1">
      <c r="M872" s="62"/>
    </row>
    <row r="873" ht="15.75" customHeight="1">
      <c r="M873" s="62"/>
    </row>
    <row r="874" ht="15.75" customHeight="1">
      <c r="M874" s="62"/>
    </row>
    <row r="875" ht="15.75" customHeight="1">
      <c r="M875" s="62"/>
    </row>
    <row r="876" ht="15.75" customHeight="1">
      <c r="M876" s="62"/>
    </row>
    <row r="877" ht="15.75" customHeight="1">
      <c r="M877" s="62"/>
    </row>
    <row r="878" ht="15.75" customHeight="1">
      <c r="M878" s="62"/>
    </row>
    <row r="879" ht="15.75" customHeight="1">
      <c r="M879" s="62"/>
    </row>
    <row r="880" ht="15.75" customHeight="1">
      <c r="M880" s="62"/>
    </row>
    <row r="881" ht="15.75" customHeight="1">
      <c r="M881" s="62"/>
    </row>
    <row r="882" ht="15.75" customHeight="1">
      <c r="M882" s="62"/>
    </row>
    <row r="883" ht="15.75" customHeight="1">
      <c r="M883" s="62"/>
    </row>
    <row r="884" ht="15.75" customHeight="1">
      <c r="M884" s="62"/>
    </row>
    <row r="885" ht="15.75" customHeight="1">
      <c r="M885" s="62"/>
    </row>
    <row r="886" ht="15.75" customHeight="1">
      <c r="M886" s="62"/>
    </row>
    <row r="887" ht="15.75" customHeight="1">
      <c r="M887" s="62"/>
    </row>
    <row r="888" ht="15.75" customHeight="1">
      <c r="M888" s="62"/>
    </row>
    <row r="889" ht="15.75" customHeight="1">
      <c r="M889" s="62"/>
    </row>
    <row r="890" ht="15.75" customHeight="1">
      <c r="M890" s="62"/>
    </row>
    <row r="891" ht="15.75" customHeight="1">
      <c r="M891" s="62"/>
    </row>
    <row r="892" ht="15.75" customHeight="1">
      <c r="M892" s="62"/>
    </row>
    <row r="893" ht="15.75" customHeight="1">
      <c r="M893" s="62"/>
    </row>
    <row r="894" ht="15.75" customHeight="1">
      <c r="M894" s="62"/>
    </row>
    <row r="895" ht="15.75" customHeight="1">
      <c r="M895" s="62"/>
    </row>
    <row r="896" ht="15.75" customHeight="1">
      <c r="M896" s="62"/>
    </row>
    <row r="897" ht="15.75" customHeight="1">
      <c r="M897" s="62"/>
    </row>
    <row r="898" ht="15.75" customHeight="1">
      <c r="M898" s="62"/>
    </row>
    <row r="899" ht="15.75" customHeight="1">
      <c r="M899" s="62"/>
    </row>
    <row r="900" ht="15.75" customHeight="1">
      <c r="M900" s="62"/>
    </row>
    <row r="901" ht="15.75" customHeight="1">
      <c r="M901" s="62"/>
    </row>
    <row r="902" ht="15.75" customHeight="1">
      <c r="M902" s="62"/>
    </row>
    <row r="903" ht="15.75" customHeight="1">
      <c r="M903" s="62"/>
    </row>
    <row r="904" ht="15.75" customHeight="1">
      <c r="M904" s="62"/>
    </row>
    <row r="905" ht="15.75" customHeight="1">
      <c r="M905" s="62"/>
    </row>
    <row r="906" ht="15.75" customHeight="1">
      <c r="M906" s="62"/>
    </row>
    <row r="907" ht="15.75" customHeight="1">
      <c r="M907" s="62"/>
    </row>
    <row r="908" ht="15.75" customHeight="1">
      <c r="M908" s="62"/>
    </row>
    <row r="909" ht="15.75" customHeight="1">
      <c r="M909" s="62"/>
    </row>
    <row r="910" ht="15.75" customHeight="1">
      <c r="M910" s="62"/>
    </row>
    <row r="911" ht="15.75" customHeight="1">
      <c r="M911" s="62"/>
    </row>
    <row r="912" ht="15.75" customHeight="1">
      <c r="M912" s="62"/>
    </row>
    <row r="913" ht="15.75" customHeight="1">
      <c r="M913" s="62"/>
    </row>
    <row r="914" ht="15.75" customHeight="1">
      <c r="M914" s="62"/>
    </row>
    <row r="915" ht="15.75" customHeight="1">
      <c r="M915" s="62"/>
    </row>
    <row r="916" ht="15.75" customHeight="1">
      <c r="M916" s="62"/>
    </row>
    <row r="917" ht="15.75" customHeight="1">
      <c r="M917" s="62"/>
    </row>
    <row r="918" ht="15.75" customHeight="1">
      <c r="M918" s="62"/>
    </row>
    <row r="919" ht="15.75" customHeight="1">
      <c r="M919" s="62"/>
    </row>
    <row r="920" ht="15.75" customHeight="1">
      <c r="M920" s="62"/>
    </row>
    <row r="921" ht="15.75" customHeight="1">
      <c r="M921" s="62"/>
    </row>
    <row r="922" ht="15.75" customHeight="1">
      <c r="M922" s="62"/>
    </row>
    <row r="923" ht="15.75" customHeight="1">
      <c r="M923" s="62"/>
    </row>
    <row r="924" ht="15.75" customHeight="1">
      <c r="M924" s="62"/>
    </row>
    <row r="925" ht="15.75" customHeight="1">
      <c r="M925" s="62"/>
    </row>
    <row r="926" ht="15.75" customHeight="1">
      <c r="M926" s="62"/>
    </row>
    <row r="927" ht="15.75" customHeight="1">
      <c r="M927" s="62"/>
    </row>
    <row r="928" ht="15.75" customHeight="1">
      <c r="M928" s="62"/>
    </row>
    <row r="929" ht="15.75" customHeight="1">
      <c r="M929" s="62"/>
    </row>
    <row r="930" ht="15.75" customHeight="1">
      <c r="M930" s="62"/>
    </row>
    <row r="931" ht="15.75" customHeight="1">
      <c r="M931" s="62"/>
    </row>
    <row r="932" ht="15.75" customHeight="1">
      <c r="M932" s="62"/>
    </row>
    <row r="933" ht="15.75" customHeight="1">
      <c r="M933" s="62"/>
    </row>
    <row r="934" ht="15.75" customHeight="1">
      <c r="M934" s="62"/>
    </row>
    <row r="935" ht="15.75" customHeight="1">
      <c r="M935" s="62"/>
    </row>
    <row r="936" ht="15.75" customHeight="1">
      <c r="M936" s="62"/>
    </row>
    <row r="937" ht="15.75" customHeight="1">
      <c r="M937" s="62"/>
    </row>
    <row r="938" ht="15.75" customHeight="1">
      <c r="M938" s="62"/>
    </row>
    <row r="939" ht="15.75" customHeight="1">
      <c r="M939" s="62"/>
    </row>
    <row r="940" ht="15.75" customHeight="1">
      <c r="M940" s="62"/>
    </row>
    <row r="941" ht="15.75" customHeight="1">
      <c r="M941" s="62"/>
    </row>
    <row r="942" ht="15.75" customHeight="1">
      <c r="M942" s="62"/>
    </row>
    <row r="943" ht="15.75" customHeight="1">
      <c r="M943" s="62"/>
    </row>
    <row r="944" ht="15.75" customHeight="1">
      <c r="M944" s="62"/>
    </row>
    <row r="945" ht="15.75" customHeight="1">
      <c r="M945" s="62"/>
    </row>
    <row r="946" ht="15.75" customHeight="1">
      <c r="M946" s="62"/>
    </row>
    <row r="947" ht="15.75" customHeight="1">
      <c r="M947" s="62"/>
    </row>
    <row r="948" ht="15.75" customHeight="1">
      <c r="M948" s="62"/>
    </row>
    <row r="949" ht="15.75" customHeight="1">
      <c r="M949" s="62"/>
    </row>
    <row r="950" ht="15.75" customHeight="1">
      <c r="M950" s="62"/>
    </row>
    <row r="951" ht="15.75" customHeight="1">
      <c r="M951" s="62"/>
    </row>
    <row r="952" ht="15.75" customHeight="1">
      <c r="M952" s="62"/>
    </row>
    <row r="953" ht="15.75" customHeight="1">
      <c r="M953" s="62"/>
    </row>
    <row r="954" ht="15.75" customHeight="1">
      <c r="M954" s="62"/>
    </row>
    <row r="955" ht="15.75" customHeight="1">
      <c r="M955" s="62"/>
    </row>
    <row r="956" ht="15.75" customHeight="1">
      <c r="M956" s="62"/>
    </row>
    <row r="957" ht="15.75" customHeight="1">
      <c r="M957" s="62"/>
    </row>
    <row r="958" ht="15.75" customHeight="1">
      <c r="M958" s="62"/>
    </row>
    <row r="959" ht="15.75" customHeight="1">
      <c r="M959" s="62"/>
    </row>
    <row r="960" ht="15.75" customHeight="1">
      <c r="M960" s="62"/>
    </row>
    <row r="961" ht="15.75" customHeight="1">
      <c r="M961" s="62"/>
    </row>
    <row r="962" ht="15.75" customHeight="1">
      <c r="M962" s="62"/>
    </row>
    <row r="963" ht="15.75" customHeight="1">
      <c r="M963" s="62"/>
    </row>
    <row r="964" ht="15.75" customHeight="1">
      <c r="M964" s="62"/>
    </row>
    <row r="965" ht="15.75" customHeight="1">
      <c r="M965" s="62"/>
    </row>
    <row r="966" ht="15.75" customHeight="1">
      <c r="M966" s="62"/>
    </row>
    <row r="967" ht="15.75" customHeight="1">
      <c r="M967" s="62"/>
    </row>
    <row r="968" ht="15.75" customHeight="1">
      <c r="M968" s="62"/>
    </row>
    <row r="969" ht="15.75" customHeight="1">
      <c r="M969" s="62"/>
    </row>
    <row r="970" ht="15.75" customHeight="1">
      <c r="M970" s="62"/>
    </row>
    <row r="971" ht="15.75" customHeight="1">
      <c r="M971" s="62"/>
    </row>
    <row r="972" ht="15.75" customHeight="1">
      <c r="M972" s="62"/>
    </row>
    <row r="973" ht="15.75" customHeight="1">
      <c r="M973" s="62"/>
    </row>
    <row r="974" ht="15.75" customHeight="1">
      <c r="M974" s="62"/>
    </row>
    <row r="975" ht="15.75" customHeight="1">
      <c r="M975" s="62"/>
    </row>
    <row r="976" ht="15.75" customHeight="1">
      <c r="M976" s="62"/>
    </row>
    <row r="977" ht="15.75" customHeight="1">
      <c r="M977" s="62"/>
    </row>
    <row r="978" ht="15.75" customHeight="1">
      <c r="M978" s="62"/>
    </row>
    <row r="979" ht="15.75" customHeight="1">
      <c r="M979" s="62"/>
    </row>
    <row r="980" ht="15.75" customHeight="1">
      <c r="M980" s="62"/>
    </row>
    <row r="981" ht="15.75" customHeight="1">
      <c r="M981" s="62"/>
    </row>
    <row r="982" ht="15.75" customHeight="1">
      <c r="M982" s="62"/>
    </row>
    <row r="983" ht="15.75" customHeight="1">
      <c r="M983" s="62"/>
    </row>
    <row r="984" ht="15.75" customHeight="1">
      <c r="M984" s="62"/>
    </row>
    <row r="985" ht="15.75" customHeight="1">
      <c r="M985" s="62"/>
    </row>
    <row r="986" ht="15.75" customHeight="1">
      <c r="M986" s="62"/>
    </row>
    <row r="987" ht="15.75" customHeight="1">
      <c r="M987" s="62"/>
    </row>
    <row r="988" ht="15.75" customHeight="1">
      <c r="M988" s="62"/>
    </row>
    <row r="989" ht="15.75" customHeight="1">
      <c r="M989" s="62"/>
    </row>
    <row r="990" ht="15.75" customHeight="1">
      <c r="M990" s="62"/>
    </row>
    <row r="991" ht="15.75" customHeight="1">
      <c r="M991" s="62"/>
    </row>
    <row r="992" ht="15.75" customHeight="1">
      <c r="M992" s="62"/>
    </row>
    <row r="993" ht="15.75" customHeight="1">
      <c r="M993" s="62"/>
    </row>
    <row r="994" ht="15.75" customHeight="1">
      <c r="M994" s="62"/>
    </row>
    <row r="995" ht="15.75" customHeight="1">
      <c r="M995" s="62"/>
    </row>
    <row r="996" ht="15.75" customHeight="1">
      <c r="M996" s="62"/>
    </row>
    <row r="997" ht="15.75" customHeight="1">
      <c r="M997" s="62"/>
    </row>
    <row r="998" ht="15.75" customHeight="1">
      <c r="M998" s="62"/>
    </row>
    <row r="999" ht="15.75" customHeight="1">
      <c r="M999" s="62"/>
    </row>
    <row r="1000" ht="15.75" customHeight="1">
      <c r="M1000" s="62"/>
    </row>
  </sheetData>
  <customSheetViews>
    <customSheetView guid="{DD99E389-AEFF-449D-AD21-404C0A8F1431}" filter="1" showAutoFilter="1">
      <autoFilter ref="$A$1:$AE$95"/>
      <extLst>
        <ext uri="GoogleSheetsCustomDataVersion1">
          <go:sheetsCustomData xmlns:go="http://customooxmlschemas.google.com/" filterViewId="1298181695"/>
        </ext>
      </extLst>
    </customSheetView>
  </customSheetViews>
  <conditionalFormatting sqref="L31:L32 L38 M2:M95">
    <cfRule type="containsText" dxfId="4" priority="1" operator="containsText" text="Urgent">
      <formula>NOT(ISERROR(SEARCH(("Urgent"),(L31))))</formula>
    </cfRule>
  </conditionalFormatting>
  <conditionalFormatting sqref="L31:L32 L38 M2:M95">
    <cfRule type="containsText" dxfId="5" priority="2" operator="containsText" text="Overdue">
      <formula>NOT(ISERROR(SEARCH(("Overdue"),(L31))))</formula>
    </cfRule>
  </conditionalFormatting>
  <conditionalFormatting sqref="L31:L32 L38 M2:M95">
    <cfRule type="containsText" dxfId="6" priority="3" operator="containsText" text="Selesai">
      <formula>NOT(ISERROR(SEARCH(("Selesai"),(L31))))</formula>
    </cfRule>
  </conditionalFormatting>
  <conditionalFormatting sqref="L31:L32 L38 M2:M95">
    <cfRule type="containsText" dxfId="7" priority="4" operator="containsText" text="On Progress">
      <formula>NOT(ISERROR(SEARCH(("On Progress"),(L31))))</formula>
    </cfRule>
  </conditionalFormatting>
  <conditionalFormatting sqref="L31:L32 L38 M2:M95">
    <cfRule type="containsText" dxfId="8" priority="5" operator="containsText" text="Belum Mulai">
      <formula>NOT(ISERROR(SEARCH(("Belum Mulai"),(L31))))</formula>
    </cfRule>
  </conditionalFormatting>
  <dataValidations>
    <dataValidation type="list" allowBlank="1" showErrorMessage="1" sqref="F2:F95">
      <formula1>"Bank Umum,BPR,BPRS,LKMS,Modal Ventura,Perusahaan Pegadaian,Manajer Investasi,Dana Pensiun,APERD,Perusahaan Efek,PPE Ebus,Lainnya"</formula1>
    </dataValidation>
    <dataValidation type="list" allowBlank="1" showErrorMessage="1" sqref="G6:G95">
      <formula1>"Pemeriksaan Umum,Prudential Meeting,KYBFI,Monitoring,Approval,Pengerjaan TKS,Penyusunan RBBR,Penyusunan LHP,Evaluasi Kinerja"</formula1>
    </dataValidation>
    <dataValidation type="list" allowBlank="1" showErrorMessage="1" sqref="G2:G5">
      <formula1>"Pemeriksaan Umum,Prudential Meeting,KYBFI,Monitoring,Approval,Penyusunan TKS,Penyusunan RBBR,Penyusunan LHP,Evaluasi Kinerja"</formula1>
    </dataValidation>
    <dataValidation type="list" allowBlank="1" showErrorMessage="1" sqref="D2:D95">
      <formula1>"Kota Banjarmasin,Kota Banjarbaru,Kab. Hulu Sungai Utara,Kab. Hulu Sungai Selatan,Kab. Hulu Sungai Tengah,Kab. Banjar,Kab. Tapin,Kab. Kotabaru,Kab. Tanah Laut,Kab. Batulicin,Kab. Balangan,Kab. Tabalong,Kab. Tanah Bumbu,Lainnya"</formula1>
    </dataValidation>
    <dataValidation type="list" allowBlank="1" showErrorMessage="1" sqref="E2:E95">
      <formula1>"Perbankan,PVML,PPDP,Lainnya"</formula1>
    </dataValidation>
    <dataValidation type="list" allowBlank="1" showErrorMessage="1" sqref="H2:H6 H8:H30 H33:H37 H39:H53 H55:H79 H81 H83:H95">
      <formula1>"Q1,Q2,Q3,Q4"</formula1>
    </dataValidation>
    <dataValidation type="list" allowBlank="1" showErrorMessage="1" sqref="L2:L95">
      <formula1>"Kirbani,Satrio Aji Nugroho"</formula1>
    </dataValidation>
    <dataValidation type="list" allowBlank="1" showErrorMessage="1" sqref="M2:M6 M8:M30 M33:M37 M39:M53 M55:M79 M81 M83:M95">
      <formula1>"Selesai,On Progress,Belum Mulai,Overdue,Urgent"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 codeName="Sheet4"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1.29"/>
    <col customWidth="1" min="3" max="3" width="16.0"/>
    <col customWidth="1" min="4" max="4" width="19.29"/>
    <col customWidth="1" min="5" max="5" width="32.0"/>
    <col customWidth="1" min="6" max="6" width="29.71"/>
    <col customWidth="1" min="7" max="8" width="19.0"/>
    <col customWidth="1" min="9" max="9" width="20.86"/>
    <col customWidth="1" min="10" max="10" width="14.71"/>
    <col customWidth="1" min="11" max="11" width="21.57"/>
    <col customWidth="1" min="12" max="12" width="23.14"/>
    <col customWidth="1" min="13" max="13" width="10.86"/>
    <col customWidth="1" min="14" max="14" width="16.0"/>
    <col customWidth="1" min="15" max="26" width="8.71"/>
  </cols>
  <sheetData>
    <row r="2">
      <c r="A2" s="1" t="s">
        <v>0</v>
      </c>
    </row>
    <row r="3"/>
    <row r="4"/>
    <row r="5"/>
    <row r="6"/>
    <row r="7"/>
    <row r="8">
      <c r="A8" s="6"/>
      <c r="B8" s="4"/>
    </row>
    <row r="9">
      <c r="A9" s="6"/>
      <c r="B9" s="4"/>
    </row>
    <row r="10">
      <c r="A10" s="6"/>
      <c r="B10" s="4"/>
    </row>
    <row r="11">
      <c r="A11" s="6"/>
      <c r="B11" s="4"/>
    </row>
    <row r="12">
      <c r="A12" s="6"/>
      <c r="B12" s="4"/>
    </row>
    <row r="13">
      <c r="A13" s="6"/>
      <c r="B13" s="4"/>
    </row>
    <row r="14">
      <c r="A14" s="6"/>
      <c r="B14" s="4"/>
    </row>
    <row r="15">
      <c r="A15" s="6"/>
      <c r="B15" s="4"/>
    </row>
    <row r="18">
      <c r="A18" s="1" t="s">
        <v>20</v>
      </c>
    </row>
    <row r="19"/>
    <row r="20"/>
    <row r="21" ht="15.75" customHeight="1">
      <c r="H21" s="4"/>
      <c r="I21" s="4"/>
      <c r="J21" s="4"/>
      <c r="K21" s="4"/>
    </row>
    <row r="22" ht="15.75" customHeight="1">
      <c r="H22" s="4"/>
      <c r="I22" s="4"/>
      <c r="J22" s="4"/>
      <c r="K22" s="4"/>
    </row>
    <row r="23" ht="15.75" customHeight="1">
      <c r="H23" s="4"/>
      <c r="I23" s="4"/>
      <c r="J23" s="4"/>
      <c r="K23" s="4"/>
    </row>
    <row r="24" ht="15.75" customHeight="1">
      <c r="H24" s="4"/>
      <c r="I24" s="4"/>
      <c r="J24" s="4"/>
      <c r="K24" s="4"/>
    </row>
    <row r="25" ht="15.75" customHeight="1">
      <c r="A25" s="6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6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75" customHeight="1">
      <c r="A27" s="6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6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6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6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/>
    <row r="34" ht="15.75" customHeight="1"/>
    <row r="35" ht="15.75" customHeight="1">
      <c r="A35" s="1" t="s">
        <v>53</v>
      </c>
    </row>
    <row r="36" ht="15.75" customHeight="1"/>
    <row r="37" ht="15.75" customHeight="1"/>
    <row r="38" ht="15.75" customHeight="1">
      <c r="I38" s="4"/>
      <c r="J38" s="4"/>
      <c r="K38" s="4"/>
      <c r="L38" s="4"/>
      <c r="M38" s="4"/>
      <c r="N38" s="4"/>
    </row>
    <row r="39" ht="15.75" customHeight="1">
      <c r="I39" s="4"/>
      <c r="J39" s="4"/>
      <c r="K39" s="4"/>
      <c r="L39" s="4"/>
      <c r="M39" s="4"/>
      <c r="N39" s="4"/>
    </row>
    <row r="40" ht="15.75" customHeight="1">
      <c r="I40" s="4"/>
      <c r="J40" s="4"/>
      <c r="K40" s="4"/>
      <c r="L40" s="4"/>
      <c r="M40" s="4"/>
      <c r="N40" s="4"/>
    </row>
    <row r="41" ht="15.75" customHeight="1">
      <c r="I41" s="4"/>
      <c r="J41" s="4"/>
      <c r="K41" s="4"/>
      <c r="L41" s="4"/>
      <c r="M41" s="4"/>
      <c r="N41" s="4"/>
    </row>
    <row r="42" ht="15.75" customHeight="1">
      <c r="A42" s="6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6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6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6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6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6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6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/>
    <row r="51" ht="15.75" customHeight="1"/>
    <row r="52" ht="15.75" customHeight="1">
      <c r="A52" s="1" t="s">
        <v>65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6"/>
      <c r="B59" s="4"/>
      <c r="C59" s="4"/>
      <c r="D59" s="4"/>
      <c r="E59" s="4"/>
      <c r="F59" s="4"/>
    </row>
    <row r="60" ht="15.75" customHeight="1">
      <c r="A60" s="6"/>
      <c r="B60" s="4"/>
      <c r="C60" s="4"/>
      <c r="D60" s="4"/>
      <c r="E60" s="4"/>
      <c r="F60" s="4"/>
    </row>
    <row r="61" ht="15.75" customHeight="1">
      <c r="A61" s="6"/>
      <c r="B61" s="4"/>
      <c r="C61" s="4"/>
      <c r="D61" s="4"/>
      <c r="E61" s="4"/>
      <c r="F61" s="4"/>
    </row>
    <row r="62" ht="15.75" customHeight="1">
      <c r="A62" s="6"/>
      <c r="B62" s="4"/>
      <c r="C62" s="4"/>
      <c r="D62" s="4"/>
      <c r="E62" s="4"/>
      <c r="F62" s="4"/>
    </row>
    <row r="63" ht="15.75" customHeight="1">
      <c r="A63" s="6"/>
      <c r="B63" s="4"/>
      <c r="C63" s="4"/>
      <c r="D63" s="4"/>
      <c r="E63" s="4"/>
      <c r="F63" s="4"/>
    </row>
    <row r="64" ht="15.75" customHeight="1">
      <c r="A64" s="6"/>
      <c r="B64" s="4"/>
      <c r="C64" s="4"/>
      <c r="D64" s="4"/>
      <c r="E64" s="4"/>
      <c r="F64" s="4"/>
    </row>
    <row r="65" ht="15.75" customHeight="1">
      <c r="A65" s="6"/>
      <c r="B65" s="4"/>
      <c r="C65" s="4"/>
      <c r="D65" s="4"/>
      <c r="E65" s="4"/>
      <c r="F65" s="4"/>
    </row>
    <row r="66" ht="15.75" customHeight="1">
      <c r="A66" s="6"/>
      <c r="B66" s="4"/>
      <c r="C66" s="4"/>
      <c r="D66" s="4"/>
      <c r="E66" s="4"/>
      <c r="F66" s="4"/>
    </row>
    <row r="67" ht="15.75" customHeight="1"/>
    <row r="68" ht="15.75" customHeight="1"/>
    <row r="69" ht="15.75" customHeight="1">
      <c r="A69" s="1" t="s">
        <v>74</v>
      </c>
    </row>
    <row r="70" ht="15.75" customHeight="1"/>
    <row r="71" ht="15.75" customHeight="1"/>
    <row r="72" ht="15.75" customHeight="1">
      <c r="I72" s="4"/>
      <c r="J72" s="4"/>
      <c r="K72" s="4"/>
      <c r="L72" s="4"/>
    </row>
    <row r="73" ht="15.75" customHeight="1">
      <c r="I73" s="4"/>
      <c r="J73" s="4"/>
      <c r="K73" s="4"/>
      <c r="L73" s="4"/>
    </row>
    <row r="74" ht="15.75" customHeight="1">
      <c r="I74" s="4"/>
      <c r="J74" s="4"/>
      <c r="K74" s="4"/>
      <c r="L74" s="4"/>
    </row>
    <row r="75" ht="15.75" customHeight="1">
      <c r="I75" s="4"/>
      <c r="J75" s="4"/>
      <c r="K75" s="4"/>
      <c r="L75" s="4"/>
    </row>
    <row r="76" ht="15.75" customHeight="1">
      <c r="A76" s="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/>
    <row r="85" ht="15.75" customHeight="1"/>
    <row r="86" ht="15.75" customHeight="1">
      <c r="A86" s="1" t="s">
        <v>82</v>
      </c>
    </row>
    <row r="87" ht="15.75" customHeight="1"/>
    <row r="88" ht="15.75" customHeight="1"/>
    <row r="89" ht="15.75" customHeight="1">
      <c r="F89" s="4"/>
      <c r="G89" s="4"/>
      <c r="H89" s="4"/>
      <c r="I89" s="4"/>
    </row>
    <row r="90" ht="15.75" customHeight="1">
      <c r="F90" s="4"/>
      <c r="G90" s="4"/>
      <c r="H90" s="4"/>
      <c r="I90" s="4"/>
    </row>
    <row r="91" ht="15.75" customHeight="1">
      <c r="F91" s="4"/>
      <c r="G91" s="4"/>
      <c r="H91" s="4"/>
      <c r="I91" s="4"/>
    </row>
    <row r="92" ht="15.75" customHeight="1">
      <c r="F92" s="4"/>
      <c r="G92" s="4"/>
      <c r="H92" s="4"/>
      <c r="I92" s="4"/>
    </row>
    <row r="93" ht="15.75" customHeight="1">
      <c r="A93" s="6"/>
      <c r="B93" s="4"/>
      <c r="C93" s="4"/>
      <c r="D93" s="4"/>
      <c r="E93" s="4"/>
      <c r="F93" s="4"/>
      <c r="G93" s="4"/>
      <c r="H93" s="4"/>
      <c r="I93" s="4"/>
    </row>
    <row r="94" ht="15.75" customHeight="1">
      <c r="A94" s="6"/>
      <c r="B94" s="4"/>
      <c r="C94" s="4"/>
      <c r="D94" s="4"/>
      <c r="E94" s="4"/>
      <c r="F94" s="4"/>
      <c r="G94" s="4"/>
      <c r="H94" s="4"/>
      <c r="I94" s="4"/>
    </row>
    <row r="95" ht="15.75" customHeight="1">
      <c r="A95" s="6"/>
      <c r="B95" s="4"/>
      <c r="C95" s="4"/>
      <c r="D95" s="4"/>
      <c r="E95" s="4"/>
      <c r="F95" s="4"/>
      <c r="G95" s="4"/>
      <c r="H95" s="4"/>
      <c r="I95" s="4"/>
    </row>
    <row r="96" ht="15.75" customHeight="1">
      <c r="A96" s="6"/>
      <c r="B96" s="4"/>
      <c r="C96" s="4"/>
      <c r="D96" s="4"/>
      <c r="E96" s="4"/>
      <c r="F96" s="4"/>
      <c r="G96" s="4"/>
      <c r="H96" s="4"/>
      <c r="I96" s="4"/>
    </row>
    <row r="97" ht="15.75" customHeight="1">
      <c r="A97" s="6"/>
      <c r="B97" s="4"/>
      <c r="C97" s="4"/>
      <c r="D97" s="4"/>
      <c r="E97" s="4"/>
      <c r="F97" s="4"/>
      <c r="G97" s="4"/>
      <c r="H97" s="4"/>
      <c r="I97" s="4"/>
    </row>
    <row r="98" ht="15.75" customHeight="1">
      <c r="A98" s="6"/>
      <c r="B98" s="4"/>
      <c r="C98" s="4"/>
      <c r="D98" s="4"/>
      <c r="E98" s="4"/>
      <c r="F98" s="4"/>
      <c r="G98" s="4"/>
      <c r="H98" s="4"/>
      <c r="I98" s="4"/>
    </row>
    <row r="99" ht="15.75" customHeight="1">
      <c r="A99" s="6"/>
      <c r="B99" s="4"/>
      <c r="C99" s="4"/>
      <c r="D99" s="4"/>
      <c r="E99" s="4"/>
      <c r="F99" s="4"/>
      <c r="G99" s="4"/>
      <c r="H99" s="4"/>
      <c r="I99" s="4"/>
    </row>
    <row r="100" ht="15.75" customHeight="1">
      <c r="A100" s="6"/>
      <c r="B100" s="4"/>
      <c r="C100" s="4"/>
      <c r="D100" s="4"/>
      <c r="E100" s="4"/>
      <c r="F100" s="4"/>
      <c r="G100" s="4"/>
      <c r="H100" s="4"/>
      <c r="I100" s="4"/>
    </row>
    <row r="101" ht="15.75" customHeight="1"/>
    <row r="102" ht="15.75" customHeight="1"/>
    <row r="103" ht="15.75" customHeight="1">
      <c r="A103" s="1" t="s">
        <v>85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>
      <c r="A112" s="1" t="s">
        <v>89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>
      <c r="A119" s="6"/>
      <c r="B119" s="4"/>
      <c r="C119" s="4"/>
      <c r="D119" s="4"/>
    </row>
    <row r="120" ht="15.75" customHeight="1">
      <c r="A120" s="6"/>
      <c r="B120" s="4"/>
      <c r="C120" s="4"/>
      <c r="D120" s="4"/>
    </row>
    <row r="121" ht="15.75" customHeight="1">
      <c r="A121" s="6"/>
      <c r="B121" s="4"/>
      <c r="C121" s="4"/>
      <c r="D121" s="4"/>
    </row>
    <row r="122" ht="15.75" customHeight="1">
      <c r="A122" s="6"/>
      <c r="B122" s="4"/>
      <c r="C122" s="4"/>
      <c r="D122" s="4"/>
    </row>
    <row r="123" ht="15.75" customHeight="1">
      <c r="A123" s="6"/>
      <c r="B123" s="4"/>
      <c r="C123" s="4"/>
      <c r="D123" s="4"/>
    </row>
    <row r="124" ht="15.75" customHeight="1">
      <c r="A124" s="6"/>
      <c r="B124" s="4"/>
      <c r="C124" s="4"/>
      <c r="D124" s="4"/>
    </row>
    <row r="125" ht="15.75" customHeight="1">
      <c r="A125" s="6"/>
      <c r="B125" s="4"/>
      <c r="C125" s="4"/>
      <c r="D125" s="4"/>
    </row>
    <row r="126" ht="15.75" customHeight="1">
      <c r="A126" s="6"/>
      <c r="B126" s="4"/>
      <c r="C126" s="4"/>
      <c r="D126" s="4"/>
    </row>
    <row r="127" ht="15.75" customHeight="1"/>
    <row r="128" ht="15.75" customHeight="1"/>
    <row r="129" ht="15.75" customHeight="1">
      <c r="A129" s="1" t="s">
        <v>91</v>
      </c>
    </row>
    <row r="130" ht="15.75" customHeight="1"/>
    <row r="131" ht="15.75" customHeight="1"/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A136" s="6"/>
      <c r="B136" s="4"/>
      <c r="C136" s="4"/>
      <c r="D136" s="4"/>
      <c r="E136" s="4"/>
    </row>
    <row r="137" ht="15.75" customHeight="1">
      <c r="A137" s="6"/>
      <c r="B137" s="4"/>
      <c r="C137" s="4"/>
      <c r="D137" s="4"/>
      <c r="E137" s="4"/>
    </row>
    <row r="138" ht="15.75" customHeight="1">
      <c r="A138" s="6"/>
      <c r="B138" s="4"/>
      <c r="C138" s="4"/>
      <c r="D138" s="4"/>
      <c r="E138" s="4"/>
    </row>
    <row r="139" ht="15.75" customHeight="1">
      <c r="A139" s="6"/>
      <c r="B139" s="4"/>
      <c r="C139" s="4"/>
      <c r="D139" s="4"/>
      <c r="E139" s="4"/>
    </row>
    <row r="140" ht="15.75" customHeight="1">
      <c r="A140" s="6"/>
      <c r="B140" s="4"/>
      <c r="C140" s="4"/>
      <c r="D140" s="4"/>
      <c r="E140" s="4"/>
    </row>
    <row r="141" ht="15.75" customHeight="1">
      <c r="A141" s="6"/>
      <c r="B141" s="4"/>
      <c r="C141" s="4"/>
      <c r="D141" s="4"/>
      <c r="E141" s="4"/>
    </row>
    <row r="142" ht="15.75" customHeight="1">
      <c r="A142" s="6"/>
      <c r="B142" s="4"/>
      <c r="C142" s="4"/>
      <c r="D142" s="4"/>
      <c r="E142" s="4"/>
    </row>
    <row r="143" ht="15.75" customHeight="1">
      <c r="A143" s="6"/>
      <c r="B143" s="4"/>
      <c r="C143" s="4"/>
      <c r="D143" s="4"/>
      <c r="E143" s="4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2026-07-16T01:36:33Z</dcterms:created>
  <dc:creator>Nor Maulida</dc:creator>
</cp:coreProperties>
</file>